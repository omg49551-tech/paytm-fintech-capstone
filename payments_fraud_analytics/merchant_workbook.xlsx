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chants" sheetId="1" r:id="rId5"/>
    <sheet state="visible" name="Transactions" sheetId="2" r:id="rId6"/>
    <sheet state="visible" name="Pivot Table 1" sheetId="3" r:id="rId7"/>
    <sheet state="visible" name="Fee_Lookup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<sst xmlns="http://schemas.openxmlformats.org/spreadsheetml/2006/main" count="1801" uniqueCount="632">
  <si>
    <t>MERCHENT_ID</t>
  </si>
  <si>
    <t>transaction_id</t>
  </si>
  <si>
    <t>MERCHEBT_NAME</t>
  </si>
  <si>
    <t>METHOD</t>
  </si>
  <si>
    <t>CATEGORY</t>
  </si>
  <si>
    <t>REGION</t>
  </si>
  <si>
    <t>UPI</t>
  </si>
  <si>
    <t>WALLET</t>
  </si>
  <si>
    <t>user_id</t>
  </si>
  <si>
    <t>CARD</t>
  </si>
  <si>
    <t>NETBANKING</t>
  </si>
  <si>
    <t>merchant_id</t>
  </si>
  <si>
    <t>Merchant_001</t>
  </si>
  <si>
    <t>MDR_FEE_%</t>
  </si>
  <si>
    <t>entertainment</t>
  </si>
  <si>
    <t>transaction_time</t>
  </si>
  <si>
    <t>West</t>
  </si>
  <si>
    <t>amount_inr</t>
  </si>
  <si>
    <t>payment_method</t>
  </si>
  <si>
    <t>status</t>
  </si>
  <si>
    <t>risk_score</t>
  </si>
  <si>
    <t>Merchant_002</t>
  </si>
  <si>
    <t>recharge</t>
  </si>
  <si>
    <t>merchant_name</t>
  </si>
  <si>
    <t>South</t>
  </si>
  <si>
    <t>cetegory</t>
  </si>
  <si>
    <t>region</t>
  </si>
  <si>
    <t>mdr_fee_%</t>
  </si>
  <si>
    <t>Merchant_003</t>
  </si>
  <si>
    <t>classification</t>
  </si>
  <si>
    <t xml:space="preserve"> </t>
  </si>
  <si>
    <t>East</t>
  </si>
  <si>
    <t>TXN100000</t>
  </si>
  <si>
    <t>Merchant_004</t>
  </si>
  <si>
    <t>grocery</t>
  </si>
  <si>
    <t>Wallet</t>
  </si>
  <si>
    <t>captured</t>
  </si>
  <si>
    <t>Merchant_005</t>
  </si>
  <si>
    <t>food_delivery</t>
  </si>
  <si>
    <t>Merchant_006</t>
  </si>
  <si>
    <t>Merchant_007</t>
  </si>
  <si>
    <t>bill_payment</t>
  </si>
  <si>
    <t>Merchant_008</t>
  </si>
  <si>
    <t>travel</t>
  </si>
  <si>
    <t>North</t>
  </si>
  <si>
    <t>Merchant_009</t>
  </si>
  <si>
    <t>Merchant_010</t>
  </si>
  <si>
    <t>Merchant_011</t>
  </si>
  <si>
    <t>Merchant_012</t>
  </si>
  <si>
    <t>Merchant_013</t>
  </si>
  <si>
    <t>ecommerce</t>
  </si>
  <si>
    <t>Merchant_014</t>
  </si>
  <si>
    <t>Merchant_015</t>
  </si>
  <si>
    <t>Merchant_016</t>
  </si>
  <si>
    <t>TXN100001</t>
  </si>
  <si>
    <t>Merchant_017</t>
  </si>
  <si>
    <t>Merchant_018</t>
  </si>
  <si>
    <t>Merchant_019</t>
  </si>
  <si>
    <t>Merchant_020</t>
  </si>
  <si>
    <t>Values</t>
  </si>
  <si>
    <t>Merchant_021</t>
  </si>
  <si>
    <t>Merchant_022</t>
  </si>
  <si>
    <t>chargeback</t>
  </si>
  <si>
    <t>Merchant_023</t>
  </si>
  <si>
    <t>failed</t>
  </si>
  <si>
    <t>Grand Total</t>
  </si>
  <si>
    <t>Merchant_024</t>
  </si>
  <si>
    <t>SUM of amount_inr</t>
  </si>
  <si>
    <t>COUNTA of transaction_id</t>
  </si>
  <si>
    <t>TXN100002</t>
  </si>
  <si>
    <t>Merchant_025</t>
  </si>
  <si>
    <t>Merchant_026</t>
  </si>
  <si>
    <t>Merchant_027</t>
  </si>
  <si>
    <t>Merchant_028</t>
  </si>
  <si>
    <t>Merchant_029</t>
  </si>
  <si>
    <t>Merchant_030</t>
  </si>
  <si>
    <t>Merchant_031</t>
  </si>
  <si>
    <t>TXN100003</t>
  </si>
  <si>
    <t>Merchant_032</t>
  </si>
  <si>
    <t>Netbanking</t>
  </si>
  <si>
    <t>Merchant_033</t>
  </si>
  <si>
    <t>Merchant_034</t>
  </si>
  <si>
    <t>Merchant_035</t>
  </si>
  <si>
    <t>Merchant_036</t>
  </si>
  <si>
    <t>Merchant_037</t>
  </si>
  <si>
    <t>Merchant_038</t>
  </si>
  <si>
    <t>TXN100004</t>
  </si>
  <si>
    <t>Merchant_039</t>
  </si>
  <si>
    <t>Merchant_040</t>
  </si>
  <si>
    <t>TXN100005</t>
  </si>
  <si>
    <t>TXN100006</t>
  </si>
  <si>
    <t>TXN100007</t>
  </si>
  <si>
    <t>TXN100008</t>
  </si>
  <si>
    <t>TXN100009</t>
  </si>
  <si>
    <t>TXN100010</t>
  </si>
  <si>
    <t>TXN100011</t>
  </si>
  <si>
    <t>Card</t>
  </si>
  <si>
    <t>TXN100012</t>
  </si>
  <si>
    <t>TXN100013</t>
  </si>
  <si>
    <t>TXN100014</t>
  </si>
  <si>
    <t>TXN100015</t>
  </si>
  <si>
    <t>TXN100016</t>
  </si>
  <si>
    <t>TXN100017</t>
  </si>
  <si>
    <t>TXN100018</t>
  </si>
  <si>
    <t>TXN100019</t>
  </si>
  <si>
    <t>TXN100020</t>
  </si>
  <si>
    <t>TXN100021</t>
  </si>
  <si>
    <t>TXN100022</t>
  </si>
  <si>
    <t>TXN100023</t>
  </si>
  <si>
    <t>TXN100024</t>
  </si>
  <si>
    <t>TXN100025</t>
  </si>
  <si>
    <t>TXN100026</t>
  </si>
  <si>
    <t>TXN100027</t>
  </si>
  <si>
    <t>TXN100028</t>
  </si>
  <si>
    <t>TXN100029</t>
  </si>
  <si>
    <t>TXN100030</t>
  </si>
  <si>
    <t>TXN100031</t>
  </si>
  <si>
    <t>TXN100032</t>
  </si>
  <si>
    <t>TXN100033</t>
  </si>
  <si>
    <t>TXN100034</t>
  </si>
  <si>
    <t>TXN100035</t>
  </si>
  <si>
    <t>TXN100036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</si>
  <si>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</si>
  <si>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</si>
  <si>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</si>
  <si>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</si>
  <si>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</si>
  <si>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</si>
  <si>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</si>
  <si>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TXN100044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</si>
  <si>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</si>
  <si>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</si>
  <si>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</si>
  <si>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</si>
  <si>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</si>
  <si>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</si>
  <si>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</si>
  <si>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TXN100052</t>
  </si>
  <si>
    <t>TXN100053</t>
  </si>
  <si>
    <t>TXN100054</t>
  </si>
  <si>
    <t>TXN100055</t>
  </si>
  <si>
    <t>TXN100056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</si>
  <si>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</si>
  <si>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</si>
  <si>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</si>
  <si>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</si>
  <si>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</si>
  <si>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</si>
  <si>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</si>
  <si>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</si>
  <si>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</si>
  <si>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</si>
  <si>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</si>
  <si>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</si>
  <si>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</si>
  <si>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</si>
  <si>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</si>
  <si>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</si>
  <si>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</si>
  <si>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</si>
  <si>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</si>
  <si>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</si>
  <si>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</si>
  <si>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</si>
  <si>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</si>
  <si>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</si>
  <si>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</si>
  <si>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</si>
  <si>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</si>
  <si>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</si>
  <si>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</si>
  <si>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</si>
  <si>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</si>
  <si>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</si>
  <si>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</si>
  <si>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</si>
  <si>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</si>
  <si>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</si>
  <si>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</si>
  <si>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</si>
  <si>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</si>
  <si>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</si>
  <si>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</si>
  <si>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</si>
  <si>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</si>
  <si>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</si>
  <si>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</si>
  <si>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</si>
  <si>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</si>
  <si>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</si>
  <si>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</si>
  <si>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</si>
  <si>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</si>
  <si>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</si>
  <si>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</si>
  <si>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</si>
  <si>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</si>
  <si>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</si>
  <si>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</si>
  <si>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</si>
  <si>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</si>
  <si>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</si>
  <si>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</si>
  <si>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</si>
  <si>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</si>
  <si>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</si>
  <si>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</si>
  <si>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</si>
  <si>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</si>
  <si>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</si>
  <si>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</si>
  <si>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</si>
  <si>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</si>
  <si>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</si>
  <si>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</si>
  <si>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TXN100130</t>
  </si>
  <si>
    <t>TXN100131</t>
  </si>
  <si>
    <t>TXN100132</t>
  </si>
  <si>
    <t>TXN100133</t>
  </si>
  <si>
    <t>TXN100134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</si>
  <si>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</si>
  <si>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</si>
  <si>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</si>
  <si>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</si>
  <si>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</si>
  <si>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</si>
  <si>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</si>
  <si>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</si>
  <si>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</si>
  <si>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</si>
  <si>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</si>
  <si>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</si>
  <si>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</si>
  <si>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</si>
  <si>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</si>
  <si>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</si>
  <si>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TXN100151</t>
  </si>
  <si>
    <t>TXN100152</t>
  </si>
  <si>
    <t>TXN100153</t>
  </si>
  <si>
    <t>TXN100154</t>
  </si>
  <si>
    <t>TXN100155</t>
  </si>
  <si>
    <t>TXN100156</t>
  </si>
  <si>
    <t>TXN100157</t>
  </si>
  <si>
    <t>TXN100158</t>
  </si>
  <si>
    <t>TXN100159</t>
  </si>
  <si>
    <t>TXN100160</t>
  </si>
  <si>
    <t>TXN100161</t>
  </si>
  <si>
    <t>TXN100162</t>
  </si>
  <si>
    <t>TXN100163</t>
  </si>
  <si>
    <t>TXN100164</t>
  </si>
  <si>
    <t>TXN100165</t>
  </si>
  <si>
    <t>TXN100166</t>
  </si>
  <si>
    <t>TXN100167</t>
  </si>
  <si>
    <t>TXN100168</t>
  </si>
  <si>
    <t>TXN100169</t>
  </si>
  <si>
    <t>TXN100170</t>
  </si>
  <si>
    <t>TXN100171</t>
  </si>
  <si>
    <t>TXN100172</t>
  </si>
  <si>
    <t>TXN100173</t>
  </si>
  <si>
    <t>TXN100174</t>
  </si>
  <si>
    <t>TXN100175</t>
  </si>
  <si>
    <t>TXN100176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</si>
  <si>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</si>
  <si>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</si>
  <si>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</si>
  <si>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</si>
  <si>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</si>
  <si>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</si>
  <si>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</si>
  <si>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</si>
  <si>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TXN100185</t>
  </si>
  <si>
    <t>TXN100186</t>
  </si>
  <si>
    <t>TXN100187</t>
  </si>
  <si>
    <t>TXN100188</t>
  </si>
  <si>
    <t>TXN100189</t>
  </si>
  <si>
    <t>TXN100190</t>
  </si>
  <si>
    <t>TXN100191</t>
  </si>
  <si>
    <t>TXN100192</t>
  </si>
  <si>
    <t>TXN100193</t>
  </si>
  <si>
    <t>TXN100194</t>
  </si>
  <si>
    <t>TXN100195</t>
  </si>
  <si>
    <t>TXN100196</t>
  </si>
  <si>
    <t>TXN100197</t>
  </si>
  <si>
    <t>TXN100198</t>
  </si>
  <si>
    <t>TXN100199</t>
  </si>
  <si>
    <t>TXN100200</t>
  </si>
  <si>
    <t>TXN100201</t>
  </si>
  <si>
    <t>TXN100202</t>
  </si>
  <si>
    <t>TXN100203</t>
  </si>
  <si>
    <t>TXN100204</t>
  </si>
  <si>
    <t>TXN100205</t>
  </si>
  <si>
    <t>TXN100206</t>
  </si>
  <si>
    <t>TXN100207</t>
  </si>
  <si>
    <t>TXN100208</t>
  </si>
  <si>
    <t>TXN100209</t>
  </si>
  <si>
    <t>TXN100210</t>
  </si>
  <si>
    <t>TXN100211</t>
  </si>
  <si>
    <t>TXN100212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</si>
  <si>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</si>
  <si>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</si>
  <si>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</si>
  <si>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</si>
  <si>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</si>
  <si>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</si>
  <si>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</si>
  <si>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</si>
  <si>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TXN100221</t>
  </si>
  <si>
    <t>TXN100222</t>
  </si>
  <si>
    <t>TXN100223</t>
  </si>
  <si>
    <t>TXN100224</t>
  </si>
  <si>
    <t>TXN100225</t>
  </si>
  <si>
    <t>TXN100226</t>
  </si>
  <si>
    <t>TXN100227</t>
  </si>
  <si>
    <t>TXN100228</t>
  </si>
  <si>
    <t>TXN100229</t>
  </si>
  <si>
    <t>TXN100230</t>
  </si>
  <si>
    <t>TXN100231</t>
  </si>
  <si>
    <t>TXN100232</t>
  </si>
  <si>
    <t>TXN100233</t>
  </si>
  <si>
    <t>TXN100234</t>
  </si>
  <si>
    <t>TXN100235</t>
  </si>
  <si>
    <t>TXN100236</t>
  </si>
  <si>
    <t>TXN100237</t>
  </si>
  <si>
    <t>TXN100238</t>
  </si>
  <si>
    <t>TXN100239</t>
  </si>
  <si>
    <t>TXN100240</t>
  </si>
  <si>
    <t>TXN100241</t>
  </si>
  <si>
    <t>TXN100242</t>
  </si>
  <si>
    <t>TXN100243</t>
  </si>
  <si>
    <t>TXN100244</t>
  </si>
  <si>
    <t>TXN100245</t>
  </si>
  <si>
    <t>TXN100246</t>
  </si>
  <si>
    <t>TXN100247</t>
  </si>
  <si>
    <t>TXN100248</t>
  </si>
  <si>
    <t>TXN100249</t>
  </si>
  <si>
    <t>TXN100250</t>
  </si>
  <si>
    <t>TXN100251</t>
  </si>
  <si>
    <t>TXN100252</t>
  </si>
  <si>
    <t>TXN100253</t>
  </si>
  <si>
    <t>TXN100254</t>
  </si>
  <si>
    <t>TXN100255</t>
  </si>
  <si>
    <t>TXN100256</t>
  </si>
  <si>
    <t>TXN100257</t>
  </si>
  <si>
    <t>TXN100258</t>
  </si>
  <si>
    <t>TXN100259</t>
  </si>
  <si>
    <t>TXN100260</t>
  </si>
  <si>
    <t>TXN100261</t>
  </si>
  <si>
    <t>TXN100262</t>
  </si>
  <si>
    <t>TXN100263</t>
  </si>
  <si>
    <t>TXN100264</t>
  </si>
  <si>
    <t>TXN100265</t>
  </si>
  <si>
    <t>TXN100266</t>
  </si>
  <si>
    <t>TXN100267</t>
  </si>
  <si>
    <t>TXN100268</t>
  </si>
  <si>
    <t>TXN100269</t>
  </si>
  <si>
    <t>TXN100270</t>
  </si>
  <si>
    <t>TXN100271</t>
  </si>
  <si>
    <t>TXN100272</t>
  </si>
  <si>
    <t>TXN100273</t>
  </si>
  <si>
    <t>TXN100274</t>
  </si>
  <si>
    <t>TXN100275</t>
  </si>
  <si>
    <t>TXN100276</t>
  </si>
  <si>
    <t>TXN100277</t>
  </si>
  <si>
    <t>TXN100278</t>
  </si>
  <si>
    <t>TXN100279</t>
  </si>
  <si>
    <t>TXN100280</t>
  </si>
  <si>
    <t>TXN100281</t>
  </si>
  <si>
    <t>TXN100282</t>
  </si>
  <si>
    <t>TXN100283</t>
  </si>
  <si>
    <t>TXN100284</t>
  </si>
  <si>
    <t>TXN100285</t>
  </si>
  <si>
    <t>TXN100286</t>
  </si>
  <si>
    <t>TXN100287</t>
  </si>
  <si>
    <t>TXN100288</t>
  </si>
  <si>
    <t>TXN100289</t>
  </si>
  <si>
    <t>TXN100290</t>
  </si>
  <si>
    <t>TXN100291</t>
  </si>
  <si>
    <t>TXN100292</t>
  </si>
  <si>
    <t>TXN100293</t>
  </si>
  <si>
    <t>TXN100294</t>
  </si>
  <si>
    <t>TXN100295</t>
  </si>
  <si>
    <t>TXN100296</t>
  </si>
  <si>
    <t>TXN100297</t>
  </si>
  <si>
    <t>TXN100298</t>
  </si>
  <si>
    <t>TXN100299</t>
  </si>
  <si>
    <t>TXN100300</t>
  </si>
  <si>
    <t>TXN100301</t>
  </si>
  <si>
    <t>TXN100302</t>
  </si>
  <si>
    <t>TXN100303</t>
  </si>
  <si>
    <t>TXN100304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</si>
  <si>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</si>
  <si>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</si>
  <si>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</si>
  <si>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</si>
  <si>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</si>
  <si>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</si>
  <si>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</si>
  <si>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</si>
  <si>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TXN100313</t>
  </si>
  <si>
    <t>TXN100314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</si>
  <si>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</si>
  <si>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</si>
  <si>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</si>
  <si>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</si>
  <si>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</si>
  <si>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</si>
  <si>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</si>
  <si>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</si>
  <si>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</si>
  <si>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TXN100324</t>
  </si>
  <si>
    <t>TXN100325</t>
  </si>
  <si>
    <t>TXN100326</t>
  </si>
  <si>
    <t>TXN100327</t>
  </si>
  <si>
    <t>TXN100328</t>
  </si>
  <si>
    <t>TXN100329</t>
  </si>
  <si>
    <t>TXN100330</t>
  </si>
  <si>
    <t>TXN100331</t>
  </si>
  <si>
    <t>TXN100332</t>
  </si>
  <si>
    <t>TXN100333</t>
  </si>
  <si>
    <t>TXN100334</t>
  </si>
  <si>
    <t>TXN100335</t>
  </si>
  <si>
    <t>TXN100336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</si>
  <si>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</si>
  <si>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</si>
  <si>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</si>
  <si>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</si>
  <si>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</si>
  <si>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</si>
  <si>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</si>
  <si>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</si>
  <si>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</si>
  <si>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</si>
  <si>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</si>
  <si>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</si>
  <si>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</si>
  <si>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TXN100350</t>
  </si>
  <si>
    <t>TXN100351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</si>
  <si>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</si>
  <si>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</si>
  <si>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</si>
  <si>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</si>
  <si>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</si>
  <si>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</si>
  <si>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</si>
  <si>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</si>
  <si>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TXN100360</t>
  </si>
  <si>
    <t>TXN100361</t>
  </si>
  <si>
    <t>TXN100362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</si>
  <si>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</si>
  <si>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</si>
  <si>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</si>
  <si>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</si>
  <si>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</si>
  <si>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</si>
  <si>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</si>
  <si>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TXN100370</t>
  </si>
  <si>
    <t>TXN100371</t>
  </si>
  <si>
    <t>TXN100372</t>
  </si>
  <si>
    <t>TXN100373</t>
  </si>
  <si>
    <t>TXN100374</t>
  </si>
  <si>
    <t>TXN100375</t>
  </si>
  <si>
    <t>TXN100376</t>
  </si>
  <si>
    <t>TXN100377</t>
  </si>
  <si>
    <t>TXN100378</t>
  </si>
  <si>
    <t>TXN100379</t>
  </si>
  <si>
    <t>TXN100380</t>
  </si>
  <si>
    <t>TXN100381</t>
  </si>
  <si>
    <t>TXN100382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</si>
  <si>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</si>
  <si>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</si>
  <si>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</si>
  <si>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</si>
  <si>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</si>
  <si>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</si>
  <si>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</si>
  <si>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</si>
  <si>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</si>
  <si>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</si>
  <si>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TXN100393</t>
  </si>
  <si>
    <t>TXN100394</t>
  </si>
  <si>
    <t>TXN100395</t>
  </si>
  <si>
    <t>TXN100396</t>
  </si>
  <si>
    <t>TXN100397</t>
  </si>
  <si>
    <t>TXN100398</t>
  </si>
  <si>
    <t>TXN100399</t>
  </si>
  <si>
    <t>TXN100400</t>
  </si>
  <si>
    <t>TXN100401</t>
  </si>
  <si>
    <t>TXN100402</t>
  </si>
  <si>
    <t>TXN100403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</si>
  <si>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</si>
  <si>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</si>
  <si>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</si>
  <si>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</si>
  <si>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</si>
  <si>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</si>
  <si>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</si>
  <si>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</si>
  <si>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</si>
  <si>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</si>
  <si>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</si>
  <si>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</si>
  <si>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</si>
  <si>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</si>
  <si>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</si>
  <si>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</si>
  <si>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</si>
  <si>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</si>
  <si>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</si>
  <si>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</si>
  <si>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</si>
  <si>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</si>
  <si>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</si>
  <si>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</si>
  <si>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</si>
  <si>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</si>
  <si>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</si>
  <si>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</si>
  <si>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TXN100432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</si>
  <si>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</si>
  <si>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</si>
  <si>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</si>
  <si>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</si>
  <si>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</si>
  <si>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</si>
  <si>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</si>
  <si>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</si>
  <si>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</si>
  <si>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</si>
  <si>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</si>
  <si>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</si>
  <si>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</si>
  <si>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</si>
  <si>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</si>
  <si>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</si>
  <si>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</si>
  <si>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</si>
  <si>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</si>
  <si>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</si>
  <si>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</si>
  <si>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</si>
  <si>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</si>
  <si>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</si>
  <si>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</si>
  <si>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</si>
  <si>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</si>
  <si>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</si>
  <si>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</si>
  <si>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</si>
  <si>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</si>
  <si>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</si>
  <si>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</si>
  <si>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</si>
  <si>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</si>
  <si>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</si>
  <si>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</si>
  <si>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</si>
  <si>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TXN100471</t>
  </si>
  <si>
    <t>TXN100472</t>
  </si>
  <si>
    <t>TXN100473</t>
  </si>
  <si>
    <t>TXN100474</t>
  </si>
  <si>
    <t>TXN100475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</si>
  <si>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</si>
  <si>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</si>
  <si>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</si>
  <si>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</si>
  <si>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</si>
  <si>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</si>
  <si>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</si>
  <si>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</si>
  <si>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</si>
  <si>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</si>
  <si>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</si>
  <si>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</si>
  <si>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</si>
  <si>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</si>
  <si>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</si>
  <si>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</si>
  <si>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</si>
  <si>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</si>
  <si>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</si>
  <si>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</si>
  <si>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</si>
  <si>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</si>
  <si>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</si>
  <si>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TXN100499</t>
  </si>
  <si>
    <t>TXN200000</t>
  </si>
  <si>
    <t>TXN200001</t>
  </si>
  <si>
    <t>TXN200002</t>
  </si>
  <si>
    <t>TXN200003</t>
  </si>
  <si>
    <t>TXN200004</t>
  </si>
  <si>
    <t>TXN200005</t>
  </si>
  <si>
    <t>TXN200006</t>
  </si>
  <si>
    <t>TXN200007</t>
  </si>
  <si>
    <t>TXN200008</t>
  </si>
  <si>
    <t>TXN200009</t>
  </si>
  <si>
    <t>TXN200010</t>
  </si>
  <si>
    <t>TXN200011</t>
  </si>
  <si>
    <t>TXN200012</t>
  </si>
  <si>
    <t>TXN200013</t>
  </si>
  <si>
    <t>TXN200014</t>
  </si>
  <si>
    <t>TXN300000</t>
  </si>
  <si>
    <t>TXN300001</t>
  </si>
  <si>
    <t>TXN300002</t>
  </si>
  <si>
    <t>TXN300003</t>
  </si>
  <si>
    <t>TXN300004</t>
  </si>
  <si>
    <t>TXN300005</t>
  </si>
  <si>
    <t>TXN300006</t>
  </si>
  <si>
    <t>TXN300007</t>
  </si>
  <si>
    <t>TXN300008</t>
  </si>
  <si>
    <t>TXN300009</t>
  </si>
  <si>
    <t>TXN300010</t>
  </si>
  <si>
    <t>TXN300011</t>
  </si>
  <si>
    <t>TXN300012</t>
  </si>
  <si>
    <t>TXN300013</t>
  </si>
  <si>
    <t>TXN300014</t>
  </si>
  <si>
    <t>TXN300015</t>
  </si>
  <si>
    <t>TXN300016</t>
  </si>
  <si>
    <t>TXN300017</t>
  </si>
  <si>
    <t>TXN300018</t>
  </si>
  <si>
    <t>TXN300019</t>
  </si>
  <si>
    <t>TXN300020</t>
  </si>
  <si>
    <t>TXN300021</t>
  </si>
  <si>
    <t>TXN300022</t>
  </si>
  <si>
    <t>TXN300023</t>
  </si>
  <si>
    <t>TXN300024</t>
  </si>
  <si>
    <t>TXN300025</t>
  </si>
  <si>
    <t>TXN300026</t>
  </si>
  <si>
    <t>TXN300027</t>
  </si>
  <si>
    <t>TXN300028</t>
  </si>
  <si>
    <t>TXN300029</t>
  </si>
  <si>
    <t>TXN300030</t>
  </si>
  <si>
    <t>TXN300031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</si>
</sst>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548" sheet="Transactions"/>
  </cacheSource>
  <cacheFields>
    <cacheField name="transaction_id" numFmtId="0">
      <sharedItems>
        <s v="TXN100000"/>
        <s v="TXN100001"/>
        <s v="TXN100002"/>
        <s v="TXN100003"/>
        <s v="TXN100004"/>
        <s v="TXN100005"/>
        <s v="TXN100006"/>
        <s v="TXN100007"/>
        <s v="TXN100008"/>
        <s v="TXN100009"/>
        <s v="TXN100010"/>
        <s v="TXN100011"/>
        <s v="TXN100012"/>
        <s v="TXN100013"/>
        <s v="TXN100014"/>
        <s v="TXN100015"/>
        <s v="TXN100016"/>
        <s v="TXN100017"/>
        <s v="TXN100018"/>
        <s v="TXN100019"/>
        <s v="TXN100020"/>
        <s v="TXN100021"/>
        <s v="TXN100022"/>
        <s v="TXN100023"/>
        <s v="TXN100024"/>
        <s v="TXN100025"/>
        <s v="TXN100026"/>
        <s v="TXN100027"/>
        <s v="TXN100028"/>
        <s v="TXN100029"/>
        <s v="TXN100030"/>
        <s v="TXN100031"/>
        <s v="TXN100032"/>
        <s v="TXN100033"/>
        <s v="TXN100034"/>
        <s v="TXN100035"/>
        <s v="TXN100036"/>
        <s v="TXN100037"/>
        <s v="TXN100038"/>
        <s v="TXN100039"/>
        <s v="TXN100040"/>
        <s v="TXN100041"/>
        <s v="TXN100042"/>
        <s v="TXN100043"/>
        <s v="TXN100044"/>
        <s v="TXN100045"/>
        <s v="TXN100046"/>
        <s v="TXN100047"/>
        <s v="TXN100048"/>
        <s v="TXN100049"/>
        <s v="TXN100050"/>
        <s v="TXN100051"/>
        <s v="TXN100052"/>
        <s v="TXN100053"/>
        <s v="TXN100054"/>
        <s v="TXN100055"/>
        <s v="TXN100056"/>
        <s v="TXN100057"/>
        <s v="TXN100058"/>
        <s v="TXN100059"/>
        <s v="TXN100060"/>
        <s v="TXN100061"/>
        <s v="TXN100062"/>
        <s v="TXN100063"/>
        <s v="TXN100064"/>
        <s v="TXN100065"/>
        <s v="TXN100066"/>
        <s v="TXN100067"/>
        <s v="TXN100068"/>
        <s v="TXN100069"/>
        <s v="TXN100070"/>
        <s v="TXN100071"/>
        <s v="TXN100072"/>
        <s v="TXN100073"/>
        <s v="TXN100074"/>
        <s v="TXN100075"/>
        <s v="TXN100076"/>
        <s v="TXN100077"/>
        <s v="TXN100078"/>
        <s v="TXN100079"/>
        <s v="TXN100080"/>
        <s v="TXN100081"/>
        <s v="TXN100082"/>
        <s v="TXN100083"/>
        <s v="TXN100084"/>
        <s v="TXN100085"/>
        <s v="TXN100086"/>
        <s v="TXN100087"/>
        <s v="TXN100088"/>
        <s v="TXN100089"/>
        <s v="TXN100090"/>
        <s v="TXN100091"/>
        <s v="TXN100092"/>
        <s v="TXN100093"/>
        <s v="TXN100094"/>
        <s v="TXN100095"/>
        <s v="TXN100096"/>
        <s v="TXN100097"/>
        <s v="TXN100098"/>
        <s v="TXN100099"/>
        <s v="TXN100100"/>
        <s v="TXN100101"/>
        <s v="TXN100102"/>
        <s v="TXN100103"/>
        <s v="TXN100104"/>
        <s v="TXN100105"/>
        <s v="TXN100106"/>
        <s v="TXN100107"/>
        <s v="TXN100108"/>
        <s v="TXN100109"/>
        <s v="TXN100110"/>
        <s v="TXN100111"/>
        <s v="TXN100112"/>
        <s v="TXN100113"/>
        <s v="TXN100114"/>
        <s v="TXN100115"/>
        <s v="TXN100116"/>
        <s v="TXN100117"/>
        <s v="TXN100118"/>
        <s v="TXN100119"/>
        <s v="TXN100120"/>
        <s v="TXN100121"/>
        <s v="TXN100122"/>
        <s v="TXN100123"/>
        <s v="TXN100124"/>
        <s v="TXN100125"/>
        <s v="TXN100126"/>
        <s v="TXN100127"/>
        <s v="TXN100128"/>
        <s v="TXN100129"/>
        <s v="TXN100130"/>
        <s v="TXN100131"/>
        <s v="TXN100132"/>
        <s v="TXN100133"/>
        <s v="TXN100134"/>
        <s v="TXN100135"/>
        <s v="TXN100136"/>
        <s v="TXN100137"/>
        <s v="TXN100138"/>
        <s v="TXN100139"/>
        <s v="TXN100140"/>
        <s v="TXN100141"/>
        <s v="TXN100142"/>
        <s v="TXN100143"/>
        <s v="TXN100144"/>
        <s v="TXN100145"/>
        <s v="TXN100146"/>
        <s v="TXN100147"/>
        <s v="TXN100148"/>
        <s v="TXN100149"/>
        <s v="TXN100150"/>
        <s v="TXN100151"/>
        <s v="TXN100152"/>
        <s v="TXN100153"/>
        <s v="TXN100154"/>
        <s v="TXN100155"/>
        <s v="TXN100156"/>
        <s v="TXN100157"/>
        <s v="TXN100158"/>
        <s v="TXN100159"/>
        <s v="TXN100160"/>
        <s v="TXN100161"/>
        <s v="TXN100162"/>
        <s v="TXN100163"/>
        <s v="TXN100164"/>
        <s v="TXN100165"/>
        <s v="TXN100166"/>
        <s v="TXN100167"/>
        <s v="TXN100168"/>
        <s v="TXN100169"/>
        <s v="TXN100170"/>
        <s v="TXN100171"/>
        <s v="TXN100172"/>
        <s v="TXN100173"/>
        <s v="TXN100174"/>
        <s v="TXN100175"/>
        <s v="TXN100176"/>
        <s v="TXN100177"/>
        <s v="TXN100178"/>
        <s v="TXN100179"/>
        <s v="TXN100180"/>
        <s v="TXN100181"/>
        <s v="TXN100182"/>
        <s v="TXN100183"/>
        <s v="TXN100184"/>
        <s v="TXN100185"/>
        <s v="TXN100186"/>
        <s v="TXN100187"/>
        <s v="TXN100188"/>
        <s v="TXN100189"/>
        <s v="TXN100190"/>
        <s v="TXN100191"/>
        <s v="TXN100192"/>
        <s v="TXN100193"/>
        <s v="TXN100194"/>
        <s v="TXN100195"/>
        <s v="TXN100196"/>
        <s v="TXN100197"/>
        <s v="TXN100198"/>
        <s v="TXN100199"/>
        <s v="TXN100200"/>
        <s v="TXN100201"/>
        <s v="TXN100202"/>
        <s v="TXN100203"/>
        <s v="TXN100204"/>
        <s v="TXN100205"/>
        <s v="TXN100206"/>
        <s v="TXN100207"/>
        <s v="TXN100208"/>
        <s v="TXN100209"/>
        <s v="TXN100210"/>
        <s v="TXN100211"/>
        <s v="TXN100212"/>
        <s v="TXN100213"/>
        <s v="TXN100214"/>
        <s v="TXN100215"/>
        <s v="TXN100216"/>
        <s v="TXN100217"/>
        <s v="TXN100218"/>
        <s v="TXN100219"/>
        <s v="TXN100220"/>
        <s v="TXN100221"/>
        <s v="TXN100222"/>
        <s v="TXN100223"/>
        <s v="TXN100224"/>
        <s v="TXN100225"/>
        <s v="TXN100226"/>
        <s v="TXN100227"/>
        <s v="TXN100228"/>
        <s v="TXN100229"/>
        <s v="TXN100230"/>
        <s v="TXN100231"/>
        <s v="TXN100232"/>
        <s v="TXN100233"/>
        <s v="TXN100234"/>
        <s v="TXN100235"/>
        <s v="TXN100236"/>
        <s v="TXN100237"/>
        <s v="TXN100238"/>
        <s v="TXN100239"/>
        <s v="TXN100240"/>
        <s v="TXN100241"/>
        <s v="TXN100242"/>
        <s v="TXN100243"/>
        <s v="TXN100244"/>
        <s v="TXN100245"/>
        <s v="TXN100246"/>
        <s v="TXN100247"/>
        <s v="TXN100248"/>
        <s v="TXN100249"/>
        <s v="TXN100250"/>
        <s v="TXN100251"/>
        <s v="TXN100252"/>
        <s v="TXN100253"/>
        <s v="TXN100254"/>
        <s v="TXN100255"/>
        <s v="TXN100256"/>
        <s v="TXN100257"/>
        <s v="TXN100258"/>
        <s v="TXN100259"/>
        <s v="TXN100260"/>
        <s v="TXN100261"/>
        <s v="TXN100262"/>
        <s v="TXN100263"/>
        <s v="TXN100264"/>
        <s v="TXN100265"/>
        <s v="TXN100266"/>
        <s v="TXN100267"/>
        <s v="TXN100268"/>
        <s v="TXN100269"/>
        <s v="TXN100270"/>
        <s v="TXN100271"/>
        <s v="TXN100272"/>
        <s v="TXN100273"/>
        <s v="TXN100274"/>
        <s v="TXN100275"/>
        <s v="TXN100276"/>
        <s v="TXN100277"/>
        <s v="TXN100278"/>
        <s v="TXN100279"/>
        <s v="TXN100280"/>
        <s v="TXN100281"/>
        <s v="TXN100282"/>
        <s v="TXN100283"/>
        <s v="TXN100284"/>
        <s v="TXN100285"/>
        <s v="TXN100286"/>
        <s v="TXN100287"/>
        <s v="TXN100288"/>
        <s v="TXN100289"/>
        <s v="TXN100290"/>
        <s v="TXN100291"/>
        <s v="TXN100292"/>
        <s v="TXN100293"/>
        <s v="TXN100294"/>
        <s v="TXN100295"/>
        <s v="TXN100296"/>
        <s v="TXN100297"/>
        <s v="TXN100298"/>
        <s v="TXN100299"/>
        <s v="TXN100300"/>
        <s v="TXN100301"/>
        <s v="TXN100302"/>
        <s v="TXN100303"/>
        <s v="TXN100304"/>
        <s v="TXN100305"/>
        <s v="TXN100306"/>
        <s v="TXN100307"/>
        <s v="TXN100308"/>
        <s v="TXN100309"/>
        <s v="TXN100310"/>
        <s v="TXN100311"/>
        <s v="TXN100312"/>
        <s v="TXN100313"/>
        <s v="TXN100314"/>
        <s v="TXN100315"/>
        <s v="TXN100316"/>
        <s v="TXN100317"/>
        <s v="TXN100318"/>
        <s v="TXN100319"/>
        <s v="TXN100320"/>
        <s v="TXN100321"/>
        <s v="TXN100322"/>
        <s v="TXN100323"/>
        <s v="TXN100324"/>
        <s v="TXN100325"/>
        <s v="TXN100326"/>
        <s v="TXN100327"/>
        <s v="TXN100328"/>
        <s v="TXN100329"/>
        <s v="TXN100330"/>
        <s v="TXN100331"/>
        <s v="TXN100332"/>
        <s v="TXN100333"/>
        <s v="TXN100334"/>
        <s v="TXN100335"/>
        <s v="TXN100336"/>
        <s v="TXN100337"/>
        <s v="TXN100338"/>
        <s v="TXN100339"/>
        <s v="TXN100340"/>
        <s v="TXN100341"/>
        <s v="TXN100342"/>
        <s v="TXN100343"/>
        <s v="TXN100344"/>
        <s v="TXN100345"/>
        <s v="TXN100346"/>
        <s v="TXN100347"/>
        <s v="TXN100348"/>
        <s v="TXN100349"/>
        <s v="TXN100350"/>
        <s v="TXN100351"/>
        <s v="TXN100352"/>
        <s v="TXN100353"/>
        <s v="TXN100354"/>
        <s v="TXN100355"/>
        <s v="TXN100356"/>
        <s v="TXN100357"/>
        <s v="TXN100358"/>
        <s v="TXN100359"/>
        <s v="TXN100360"/>
        <s v="TXN100361"/>
        <s v="TXN100362"/>
        <s v="TXN100363"/>
        <s v="TXN100364"/>
        <s v="TXN100365"/>
        <s v="TXN100366"/>
        <s v="TXN100367"/>
        <s v="TXN100368"/>
        <s v="TXN100369"/>
        <s v="TXN100370"/>
        <s v="TXN100371"/>
        <s v="TXN100372"/>
        <s v="TXN100373"/>
        <s v="TXN100374"/>
        <s v="TXN100375"/>
        <s v="TXN100376"/>
        <s v="TXN100377"/>
        <s v="TXN100378"/>
        <s v="TXN100379"/>
        <s v="TXN100380"/>
        <s v="TXN100381"/>
        <s v="TXN100382"/>
        <s v="TXN100383"/>
        <s v="TXN100384"/>
        <s v="TXN100385"/>
        <s v="TXN100386"/>
        <s v="TXN100387"/>
        <s v="TXN100388"/>
        <s v="TXN100389"/>
        <s v="TXN100390"/>
        <s v="TXN100391"/>
        <s v="TXN100392"/>
        <s v="TXN100393"/>
        <s v="TXN100394"/>
        <s v="TXN100395"/>
        <s v="TXN100396"/>
        <s v="TXN100397"/>
        <s v="TXN100398"/>
        <s v="TXN100399"/>
        <s v="TXN100400"/>
        <s v="TXN100401"/>
        <s v="TXN100402"/>
        <s v="TXN100403"/>
        <s v="TXN100404"/>
        <s v="TXN100405"/>
        <s v="TXN100406"/>
        <s v="TXN100407"/>
        <s v="TXN100408"/>
        <s v="TXN100409"/>
        <s v="TXN100410"/>
        <s v="TXN100411"/>
        <s v="TXN100412"/>
        <s v="TXN100413"/>
        <s v="TXN100414"/>
        <s v="TXN100415"/>
        <s v="TXN100416"/>
        <s v="TXN100417"/>
        <s v="TXN100418"/>
        <s v="TXN100419"/>
        <s v="TXN100420"/>
        <s v="TXN100421"/>
        <s v="TXN100422"/>
        <s v="TXN100423"/>
        <s v="TXN100424"/>
        <s v="TXN100425"/>
        <s v="TXN100426"/>
        <s v="TXN100427"/>
        <s v="TXN100428"/>
        <s v="TXN100429"/>
        <s v="TXN100430"/>
        <s v="TXN100431"/>
        <s v="TXN100432"/>
        <s v="TXN100433"/>
        <s v="TXN100434"/>
        <s v="TXN100435"/>
        <s v="TXN100436"/>
        <s v="TXN100437"/>
        <s v="TXN100438"/>
        <s v="TXN100439"/>
        <s v="TXN100440"/>
        <s v="TXN100441"/>
        <s v="TXN100442"/>
        <s v="TXN100443"/>
        <s v="TXN100444"/>
        <s v="TXN100445"/>
        <s v="TXN100446"/>
        <s v="TXN100447"/>
        <s v="TXN100448"/>
        <s v="TXN100449"/>
        <s v="TXN100450"/>
        <s v="TXN100451"/>
        <s v="TXN100452"/>
        <s v="TXN100453"/>
        <s v="TXN100454"/>
        <s v="TXN100455"/>
        <s v="TXN100456"/>
        <s v="TXN100457"/>
        <s v="TXN100458"/>
        <s v="TXN100459"/>
        <s v="TXN100460"/>
        <s v="TXN100461"/>
        <s v="TXN100462"/>
        <s v="TXN100463"/>
        <s v="TXN100464"/>
        <s v="TXN100465"/>
        <s v="TXN100466"/>
        <s v="TXN100467"/>
        <s v="TXN100468"/>
        <s v="TXN100469"/>
        <s v="TXN100470"/>
        <s v="TXN100471"/>
        <s v="TXN100472"/>
        <s v="TXN100473"/>
        <s v="TXN100474"/>
        <s v="TXN100475"/>
        <s v="TXN100476"/>
        <s v="TXN100477"/>
        <s v="TXN100478"/>
        <s v="TXN100479"/>
        <s v="TXN100480"/>
        <s v="TXN100481"/>
        <s v="TXN100482"/>
        <s v="TXN100483"/>
        <s v="TXN100484"/>
        <s v="TXN100485"/>
        <s v="TXN100486"/>
        <s v="TXN100487"/>
        <s v="TXN100488"/>
        <s v="TXN100489"/>
        <s v="TXN100490"/>
        <s v="TXN100491"/>
        <s v="TXN100492"/>
        <s v="TXN100493"/>
        <s v="TXN100494"/>
        <s v="TXN100495"/>
        <s v="TXN100496"/>
        <s v="TXN100497"/>
        <s v="TXN100498"/>
        <s v="TXN100499"/>
        <s v="TXN200000"/>
        <s v="TXN200001"/>
        <s v="TXN200002"/>
        <s v="TXN200003"/>
        <s v="TXN200004"/>
        <s v="TXN200005"/>
        <s v="TXN200006"/>
        <s v="TXN200007"/>
        <s v="TXN200008"/>
        <s v="TXN200009"/>
        <s v="TXN200010"/>
        <s v="TXN200011"/>
        <s v="TXN200012"/>
        <s v="TXN200013"/>
        <s v="TXN200014"/>
        <s v="TXN300000"/>
        <s v="TXN300001"/>
        <s v="TXN300002"/>
        <s v="TXN300003"/>
        <s v="TXN300004"/>
        <s v="TXN300005"/>
        <s v="TXN300006"/>
        <s v="TXN300007"/>
        <s v="TXN300008"/>
        <s v="TXN300009"/>
        <s v="TXN300010"/>
        <s v="TXN300011"/>
        <s v="TXN300012"/>
        <s v="TXN300013"/>
        <s v="TXN300014"/>
        <s v="TXN300015"/>
        <s v="TXN300016"/>
        <s v="TXN300017"/>
        <s v="TXN300018"/>
        <s v="TXN300019"/>
        <s v="TXN300020"/>
        <s v="TXN300021"/>
        <s v="TXN300022"/>
        <s v="TXN300023"/>
        <s v="TXN300024"/>
        <s v="TXN300025"/>
        <s v="TXN300026"/>
        <s v="TXN300027"/>
        <s v="TXN300028"/>
        <s v="TXN300029"/>
        <s v="TXN300030"/>
        <s v="TXN300031"/>
      </sharedItems>
    </cacheField>
    <cacheField name="user_id" numFmtId="0">
      <sharedItems containsSemiMixedTypes="0" containsString="0" containsNumber="1" containsInteger="1">
        <n v="350.0"/>
        <n v="287.0"/>
        <n v="122.0"/>
        <n v="92.0"/>
        <n v="343.0"/>
        <n v="196.0"/>
        <n v="236.0"/>
        <n v="13.0"/>
        <n v="36.0"/>
        <n v="348.0"/>
        <n v="134.0"/>
        <n v="306.0"/>
        <n v="311.0"/>
        <n v="131.0"/>
        <n v="276.0"/>
        <n v="170.0"/>
        <n v="154.0"/>
        <n v="207.0"/>
        <n v="341.0"/>
        <n v="292.0"/>
        <n v="147.0"/>
        <n v="336.0"/>
        <n v="110.0"/>
        <n v="338.0"/>
        <n v="318.0"/>
        <n v="159.0"/>
        <n v="126.0"/>
        <n v="213.0"/>
        <n v="254.0"/>
        <n v="3.0"/>
        <n v="266.0"/>
        <n v="63.0"/>
        <n v="272.0"/>
        <n v="259.0"/>
        <n v="244.0"/>
        <n v="327.0"/>
        <n v="321.0"/>
        <n v="277.0"/>
        <n v="79.0"/>
        <n v="278.0"/>
        <n v="216.0"/>
        <n v="295.0"/>
        <n v="200.0"/>
        <n v="309.0"/>
        <n v="249.0"/>
        <n v="208.0"/>
        <n v="274.0"/>
        <n v="14.0"/>
        <n v="237.0"/>
        <n v="109.0"/>
        <n v="334.0"/>
        <n v="11.0"/>
        <n v="132.0"/>
        <n v="59.0"/>
        <n v="160.0"/>
        <n v="102.0"/>
        <n v="53.0"/>
        <n v="290.0"/>
        <n v="190.0"/>
        <n v="248.0"/>
        <n v="138.0"/>
        <n v="231.0"/>
        <n v="167.0"/>
        <n v="133.0"/>
        <n v="142.0"/>
        <n v="124.0"/>
        <n v="151.0"/>
        <n v="340.0"/>
        <n v="177.0"/>
        <n v="233.0"/>
        <n v="99.0"/>
        <n v="95.0"/>
        <n v="302.0"/>
        <n v="100.0"/>
        <n v="8.0"/>
        <n v="284.0"/>
        <n v="252.0"/>
        <n v="246.0"/>
        <n v="245.0"/>
        <n v="296.0"/>
        <n v="44.0"/>
        <n v="157.0"/>
        <n v="51.0"/>
        <n v="42.0"/>
        <n v="81.0"/>
        <n v="241.0"/>
        <n v="145.0"/>
        <n v="136.0"/>
        <n v="137.0"/>
        <n v="158.0"/>
        <n v="148.0"/>
        <n v="166.0"/>
        <n v="346.0"/>
        <n v="326.0"/>
        <n v="171.0"/>
        <n v="211.0"/>
        <n v="282.0"/>
        <n v="1.0"/>
        <n v="227.0"/>
        <n v="323.0"/>
        <n v="283.0"/>
        <n v="150.0"/>
        <n v="197.0"/>
        <n v="70.0"/>
        <n v="260.0"/>
        <n v="301.0"/>
        <n v="279.0"/>
        <n v="97.0"/>
        <n v="52.0"/>
        <n v="74.0"/>
        <n v="163.0"/>
        <n v="121.0"/>
        <n v="15.0"/>
        <n v="184.0"/>
        <n v="90.0"/>
        <n v="119.0"/>
        <n v="342.0"/>
        <n v="280.0"/>
        <n v="155.0"/>
        <n v="152.0"/>
        <n v="21.0"/>
        <n v="187.0"/>
        <n v="188.0"/>
        <n v="85.0"/>
        <n v="174.0"/>
        <n v="116.0"/>
        <n v="203.0"/>
        <n v="189.0"/>
        <n v="56.0"/>
        <n v="288.0"/>
        <n v="60.0"/>
        <n v="199.0"/>
        <n v="17.0"/>
        <n v="186.0"/>
        <n v="331.0"/>
        <n v="328.0"/>
        <n v="65.0"/>
        <n v="230.0"/>
        <n v="258.0"/>
        <n v="32.0"/>
        <n v="312.0"/>
        <n v="325.0"/>
        <n v="221.0"/>
        <n v="161.0"/>
        <n v="222.0"/>
        <n v="67.0"/>
        <n v="169.0"/>
        <n v="217.0"/>
        <n v="54.0"/>
        <n v="247.0"/>
        <n v="337.0"/>
        <n v="16.0"/>
        <n v="215.0"/>
        <n v="140.0"/>
        <n v="250.0"/>
        <n v="62.0"/>
        <n v="224.0"/>
        <n v="262.0"/>
        <n v="179.0"/>
        <n v="76.0"/>
        <n v="89.0"/>
        <n v="91.0"/>
        <n v="297.0"/>
        <n v="78.0"/>
        <n v="156.0"/>
        <n v="38.0"/>
        <n v="305.0"/>
        <n v="22.0"/>
        <n v="310.0"/>
        <n v="269.0"/>
        <n v="307.0"/>
        <n v="130.0"/>
        <n v="66.0"/>
        <n v="261.0"/>
        <n v="71.0"/>
        <n v="317.0"/>
        <n v="93.0"/>
        <n v="313.0"/>
        <n v="103.0"/>
        <n v="329.0"/>
        <n v="265.0"/>
        <n v="114.0"/>
        <n v="28.0"/>
        <n v="242.0"/>
        <n v="316.0"/>
        <n v="77.0"/>
        <n v="57.0"/>
        <n v="123.0"/>
        <n v="33.0"/>
        <n v="324.0"/>
        <n v="293.0"/>
        <n v="183.0"/>
        <n v="322.0"/>
        <n v="330.0"/>
        <n v="235.0"/>
        <n v="204.0"/>
        <n v="332.0"/>
        <n v="205.0"/>
        <n v="255.0"/>
        <n v="218.0"/>
        <n v="86.0"/>
        <n v="181.0"/>
        <n v="30.0"/>
        <n v="263.0"/>
        <n v="225.0"/>
        <n v="228.0"/>
        <n v="229.0"/>
        <n v="164.0"/>
        <n v="149.0"/>
        <n v="185.0"/>
        <n v="94.0"/>
        <n v="64.0"/>
        <n v="41.0"/>
        <n v="289.0"/>
        <n v="153.0"/>
        <n v="226.0"/>
        <n v="82.0"/>
        <n v="26.0"/>
        <n v="69.0"/>
        <n v="24.0"/>
        <n v="20.0"/>
        <n v="234.0"/>
        <n v="168.0"/>
        <n v="251.0"/>
        <n v="195.0"/>
        <n v="314.0"/>
        <n v="273.0"/>
        <n v="349.0"/>
        <n v="143.0"/>
        <n v="335.0"/>
        <n v="46.0"/>
        <n v="19.0"/>
        <n v="55.0"/>
        <n v="173.0"/>
        <n v="206.0"/>
        <n v="128.0"/>
        <n v="6.0"/>
        <n v="281.0"/>
        <n v="106.0"/>
        <n v="29.0"/>
        <n v="112.0"/>
        <n v="194.0"/>
        <n v="115.0"/>
        <n v="345.0"/>
        <n v="118.0"/>
        <n v="315.0"/>
        <n v="25.0"/>
        <n v="120.0"/>
        <n v="165.0"/>
        <n v="267.0"/>
        <n v="286.0"/>
        <n v="214.0"/>
        <n v="105.0"/>
        <n v="239.0"/>
        <n v="39.0"/>
        <n v="4.0"/>
        <n v="182.0"/>
        <n v="88.0"/>
        <n v="291.0"/>
        <n v="144.0"/>
        <n v="162.0"/>
        <n v="178.0"/>
        <n v="139.0"/>
        <n v="125.0"/>
        <n v="87.0"/>
        <n v="75.0"/>
        <n v="127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73.0"/>
      </sharedItems>
    </cacheField>
    <cacheField name="merchant_id" numFmtId="0">
      <sharedItems containsSemiMixedTypes="0" containsString="0" containsNumber="1" containsInteger="1">
        <n v="16.0"/>
        <n v="27.0"/>
        <n v="11.0"/>
        <n v="22.0"/>
        <n v="3.0"/>
        <n v="23.0"/>
        <n v="13.0"/>
        <n v="18.0"/>
        <n v="35.0"/>
        <n v="12.0"/>
        <n v="28.0"/>
        <n v="33.0"/>
        <n v="40.0"/>
        <n v="19.0"/>
        <n v="25.0"/>
        <n v="20.0"/>
        <n v="14.0"/>
        <n v="21.0"/>
        <n v="6.0"/>
        <n v="15.0"/>
        <n v="31.0"/>
        <n v="37.0"/>
        <n v="26.0"/>
        <n v="7.0"/>
        <n v="30.0"/>
        <n v="36.0"/>
        <n v="29.0"/>
        <n v="2.0"/>
        <n v="17.0"/>
        <n v="4.0"/>
        <n v="8.0"/>
        <n v="24.0"/>
        <n v="5.0"/>
        <n v="32.0"/>
        <n v="10.0"/>
        <n v="38.0"/>
        <n v="34.0"/>
        <n v="1.0"/>
        <n v="39.0"/>
        <n v="9.0"/>
      </sharedItems>
    </cacheField>
    <cacheField name="transaction_time" numFmtId="164">
      <sharedItems containsSemiMixedTypes="0" containsDate="1" containsString="0">
        <d v="2026-01-29T11:13:00Z"/>
        <d v="2026-01-04T11:49:00Z"/>
        <d v="2026-01-24T04:59:00Z"/>
        <d v="2026-01-29T13:01:00Z"/>
        <d v="2026-01-30T13:51:00Z"/>
        <d v="2026-01-06T22:06:00Z"/>
        <d v="2026-01-08T06:52:00Z"/>
        <d v="2026-01-27T07:14:00Z"/>
        <d v="2026-01-11T08:55:00Z"/>
        <d v="2026-01-21T16:25:00Z"/>
        <d v="2026-01-01T03:56:00Z"/>
        <d v="2026-01-09T01:06:00Z"/>
        <d v="2026-01-24T10:27:00Z"/>
        <d v="2026-01-13T18:12:00Z"/>
        <d v="2026-01-14T00:33:00Z"/>
        <d v="2026-01-14T02:42:00Z"/>
        <d v="2026-01-22T03:46:00Z"/>
        <d v="2026-01-22T13:20:00Z"/>
        <d v="2026-01-05T06:26:00Z"/>
        <d v="2026-01-24T05:39:00Z"/>
        <d v="2026-01-18T00:19:00Z"/>
        <d v="2026-01-26T18:38:00Z"/>
        <d v="2026-01-15T14:43:00Z"/>
        <d v="2026-01-26T23:10:00Z"/>
        <d v="2026-01-17T21:40:00Z"/>
        <d v="2026-01-27T07:43:00Z"/>
        <d v="2026-01-05T00:02:00Z"/>
        <d v="2026-01-28T02:29:00Z"/>
        <d v="2026-01-23T22:24:00Z"/>
        <d v="2026-01-05T20:44:00Z"/>
        <d v="2026-01-14T07:11:00Z"/>
        <d v="2026-01-18T07:58:00Z"/>
        <d v="2026-01-26T14:42:00Z"/>
        <d v="2026-01-11T14:39:00Z"/>
        <d v="2026-01-15T05:47:00Z"/>
        <d v="2026-01-25T07:53:00Z"/>
        <d v="2026-01-25T16:31:00Z"/>
        <d v="2026-01-15T02:45:00Z"/>
        <d v="2026-01-11T10:57:00Z"/>
        <d v="2026-01-05T07:24:00Z"/>
        <d v="2026-01-14T13:21:00Z"/>
        <d v="2026-01-02T06:53:00Z"/>
        <d v="2026-01-19T22:01:00Z"/>
        <d v="2026-01-01T11:19:00Z"/>
        <d v="2026-01-24T23:34:00Z"/>
        <d v="2026-01-08T08:27:00Z"/>
        <d v="2026-01-11T21:43:00Z"/>
        <d v="2026-01-30T04:39:00Z"/>
        <d v="2026-01-19T18:42:00Z"/>
        <d v="2026-01-14T04:55:00Z"/>
        <d v="2026-01-09T12:20:00Z"/>
        <d v="2026-01-11T12:17:00Z"/>
        <d v="2026-01-16T00:47:00Z"/>
        <d v="2026-01-08T20:04:00Z"/>
        <d v="2026-01-01T07:12:00Z"/>
        <d v="2026-01-08T04:30:00Z"/>
        <d v="2026-01-07T14:44:00Z"/>
        <d v="2026-01-20T19:47:00Z"/>
        <d v="2026-01-04T18:01:00Z"/>
        <d v="2026-01-30T12:25:00Z"/>
        <d v="2026-01-23T20:15:00Z"/>
        <d v="2026-01-20T03:50:00Z"/>
        <d v="2026-01-18T13:42:00Z"/>
        <d v="2026-01-21T10:00:00Z"/>
        <d v="2026-01-14T11:40:00Z"/>
        <d v="2026-01-06T23:33:00Z"/>
        <d v="2026-01-26T17:49:00Z"/>
        <d v="2026-01-27T23:37:00Z"/>
        <d v="2026-01-27T02:17:00Z"/>
        <d v="2026-01-15T18:39:00Z"/>
        <d v="2026-01-01T15:54:00Z"/>
        <d v="2026-01-07T11:51:00Z"/>
        <d v="2026-01-29T19:44:00Z"/>
        <d v="2026-01-17T06:05:00Z"/>
        <d v="2026-01-18T07:44:00Z"/>
        <d v="2026-01-26T00:05:00Z"/>
        <d v="2026-01-23T07:19:00Z"/>
        <d v="2026-01-16T17:33:00Z"/>
        <d v="2026-01-18T10:22:00Z"/>
        <d v="2026-01-09T07:07:00Z"/>
        <d v="2026-01-24T17:48:00Z"/>
        <d v="2026-01-24T15:17:00Z"/>
        <d v="2026-01-10T03:53:00Z"/>
        <d v="2026-01-12T05:19:00Z"/>
        <d v="2026-01-09T01:03:00Z"/>
        <d v="2026-01-05T20:55:00Z"/>
        <d v="2026-01-19T09:30:00Z"/>
        <d v="2026-01-06T01:16:00Z"/>
        <d v="2026-01-13T15:04:00Z"/>
        <d v="2026-01-05T18:19:00Z"/>
        <d v="2026-01-18T13:38:00Z"/>
        <d v="2026-01-25T16:24:00Z"/>
        <d v="2026-01-28T18:27:00Z"/>
        <d v="2026-01-02T19:47:00Z"/>
        <d v="2026-01-07T08:42:00Z"/>
        <d v="2026-01-06T17:04:00Z"/>
        <d v="2026-01-15T22:38:00Z"/>
        <d v="2026-01-08T09:45:00Z"/>
        <d v="2026-01-22T07:59:00Z"/>
        <d v="2026-01-26T06:27:00Z"/>
        <d v="2026-01-21T04:58:00Z"/>
        <d v="2026-01-02T05:50:00Z"/>
        <d v="2026-01-27T18:58:00Z"/>
        <d v="2026-01-15T22:19:00Z"/>
        <d v="2026-01-18T15:28:00Z"/>
        <d v="2026-01-29T13:47:00Z"/>
        <d v="2026-01-01T02:14:00Z"/>
        <d v="2026-01-01T21:52:00Z"/>
        <d v="2026-01-25T05:30:00Z"/>
        <d v="2026-01-06T18:27:00Z"/>
        <d v="2026-01-16T11:26:00Z"/>
        <d v="2026-01-04T05:21:00Z"/>
        <d v="2026-01-22T12:52:00Z"/>
        <d v="2026-01-03T10:16:00Z"/>
        <d v="2026-01-13T16:52:00Z"/>
        <d v="2026-01-14T01:12:00Z"/>
        <d v="2026-01-25T15:40:00Z"/>
        <d v="2026-01-09T17:08:00Z"/>
        <d v="2026-01-16T03:01:00Z"/>
        <d v="2026-01-23T05:19:00Z"/>
        <d v="2026-01-14T02:14:00Z"/>
        <d v="2026-01-21T04:31:00Z"/>
        <d v="2026-01-09T13:53:00Z"/>
        <d v="2026-01-15T17:09:00Z"/>
        <d v="2026-01-17T23:56:00Z"/>
        <d v="2026-01-25T13:21:00Z"/>
        <d v="2026-01-10T23:19:00Z"/>
        <d v="2026-01-16T04:28:00Z"/>
        <d v="2026-01-11T17:48:00Z"/>
        <d v="2026-01-30T10:55:00Z"/>
        <d v="2026-01-13T07:54:00Z"/>
        <d v="2026-01-24T15:45:00Z"/>
        <d v="2026-01-26T20:09:00Z"/>
        <d v="2026-01-17T18:21:00Z"/>
        <d v="2026-01-17T14:00:00Z"/>
        <d v="2026-01-05T02:30:00Z"/>
        <d v="2026-01-23T12:41:00Z"/>
        <d v="2026-01-28T17:24:00Z"/>
        <d v="2026-01-02T19:04:00Z"/>
        <d v="2026-01-24T02:27:00Z"/>
        <d v="2026-01-06T22:19:00Z"/>
        <d v="2026-01-26T01:18:00Z"/>
        <d v="2026-01-05T07:33:00Z"/>
        <d v="2026-01-26T05:10:00Z"/>
        <d v="2026-01-28T12:39:00Z"/>
        <d v="2026-01-30T18:09:00Z"/>
        <d v="2026-01-09T14:16:00Z"/>
        <d v="2026-01-29T09:43:00Z"/>
        <d v="2026-01-15T11:37:00Z"/>
        <d v="2026-01-09T14:54:00Z"/>
        <d v="2026-01-28T15:06:00Z"/>
        <d v="2026-01-12T18:18:00Z"/>
        <d v="2026-01-13T08:00:00Z"/>
        <d v="2026-01-24T15:53:00Z"/>
        <d v="2026-01-26T11:14:00Z"/>
        <d v="2026-01-09T21:48:00Z"/>
        <d v="2026-01-04T20:41:00Z"/>
        <d v="2026-01-15T01:37:00Z"/>
        <d v="2026-01-30T09:20:00Z"/>
        <d v="2026-01-05T17:56:00Z"/>
        <d v="2026-01-30T08:53:00Z"/>
        <d v="2026-01-26T09:47:00Z"/>
        <d v="2026-01-03T04:48:00Z"/>
        <d v="2026-01-12T02:50:00Z"/>
        <d v="2026-01-18T03:29:00Z"/>
        <d v="2026-01-13T20:23:00Z"/>
        <d v="2026-01-01T19:56:00Z"/>
        <d v="2026-01-10T20:26:00Z"/>
        <d v="2026-01-02T09:31:00Z"/>
        <d v="2026-01-29T17:08:00Z"/>
        <d v="2026-01-22T23:44:00Z"/>
        <d v="2026-01-24T23:09:00Z"/>
        <d v="2026-01-20T13:17:00Z"/>
        <d v="2026-01-15T14:15:00Z"/>
        <d v="2026-01-12T17:57:00Z"/>
        <d v="2026-01-13T08:12:00Z"/>
        <d v="2026-01-22T06:41:00Z"/>
        <d v="2026-01-02T10:15:00Z"/>
        <d v="2026-01-03T17:13:00Z"/>
        <d v="2026-01-11T04:50:00Z"/>
        <d v="2026-01-28T04:08:00Z"/>
        <d v="2026-01-04T21:55:00Z"/>
        <d v="2026-01-12T07:37:00Z"/>
        <d v="2026-01-09T01:08:00Z"/>
        <d v="2026-01-24T02:30:00Z"/>
        <d v="2026-01-19T03:28:00Z"/>
        <d v="2026-01-02T23:50:00Z"/>
        <d v="2026-01-15T20:01:00Z"/>
        <d v="2026-01-14T21:06:00Z"/>
        <d v="2026-01-29T02:20:00Z"/>
        <d v="2026-01-05T08:39:00Z"/>
        <d v="2026-01-23T10:24:00Z"/>
        <d v="2026-01-15T16:38:00Z"/>
        <d v="2026-01-15T07:26:00Z"/>
        <d v="2026-01-14T23:06:00Z"/>
        <d v="2026-01-22T08:23:00Z"/>
        <d v="2026-01-03T02:05:00Z"/>
        <d v="2026-01-24T11:51:00Z"/>
        <d v="2026-01-19T17:35:00Z"/>
        <d v="2026-01-12T21:48:00Z"/>
        <d v="2026-01-20T09:22:00Z"/>
        <d v="2026-01-07T04:42:00Z"/>
        <d v="2026-01-12T17:23:00Z"/>
        <d v="2026-01-08T13:54:00Z"/>
        <d v="2026-01-22T20:35:00Z"/>
        <d v="2026-01-27T22:17:00Z"/>
        <d v="2026-01-23T09:58:00Z"/>
        <d v="2026-01-06T04:36:00Z"/>
        <d v="2026-01-05T23:40:00Z"/>
        <d v="2026-01-17T06:24:00Z"/>
        <d v="2026-01-06T11:19:00Z"/>
        <d v="2026-01-03T01:09:00Z"/>
        <d v="2026-01-22T02:17:00Z"/>
        <d v="2026-01-20T14:26:00Z"/>
        <d v="2026-01-17T03:22:00Z"/>
        <d v="2026-01-22T21:37:00Z"/>
        <d v="2026-01-10T01:14:00Z"/>
        <d v="2026-01-01T06:19:00Z"/>
        <d v="2026-01-09T09:20:00Z"/>
        <d v="2026-01-24T13:11:00Z"/>
        <d v="2026-01-23T07:32:00Z"/>
        <d v="2026-01-13T23:02:00Z"/>
        <d v="2026-01-30T02:55:00Z"/>
        <d v="2026-01-19T12:45:00Z"/>
        <d v="2026-01-04T12:01:00Z"/>
        <d v="2026-01-15T22:58:00Z"/>
        <d v="2026-01-28T03:15:00Z"/>
        <d v="2026-01-17T02:25:00Z"/>
        <d v="2026-01-11T05:04:00Z"/>
        <d v="2026-01-17T06:57:00Z"/>
        <d v="2026-01-27T20:52:00Z"/>
        <d v="2026-01-05T08:12:00Z"/>
        <d v="2026-01-25T20:04:00Z"/>
        <d v="2026-01-25T18:48:00Z"/>
        <d v="2026-01-30T18:41:00Z"/>
        <d v="2026-01-28T20:20:00Z"/>
        <d v="2026-01-16T14:40:00Z"/>
        <d v="2026-01-02T11:32:00Z"/>
        <d v="2026-01-15T01:03:00Z"/>
        <d v="2026-01-21T02:39:00Z"/>
        <d v="2026-01-15T18:35:00Z"/>
        <d v="2026-01-21T06:20:00Z"/>
        <d v="2026-01-05T01:28:00Z"/>
        <d v="2026-01-03T16:41:00Z"/>
        <d v="2026-01-23T14:28:00Z"/>
        <d v="2026-01-06T11:23:00Z"/>
        <d v="2026-01-25T10:43:00Z"/>
        <d v="2026-01-21T10:04:00Z"/>
        <d v="2026-01-22T12:18:00Z"/>
        <d v="2026-01-11T02:37:00Z"/>
        <d v="2026-01-10T20:44:00Z"/>
        <d v="2026-01-20T22:05:00Z"/>
        <d v="2026-01-21T10:52:00Z"/>
        <d v="2026-01-21T21:27:00Z"/>
        <d v="2026-01-12T09:11:00Z"/>
        <d v="2026-01-16T06:14:00Z"/>
        <d v="2026-01-10T03:32:00Z"/>
        <d v="2026-01-22T10:56:00Z"/>
        <d v="2026-01-13T04:10:00Z"/>
        <d v="2026-01-24T14:02:00Z"/>
        <d v="2026-01-24T07:28:00Z"/>
        <d v="2026-01-24T14:14:00Z"/>
        <d v="2026-01-26T15:57:00Z"/>
        <d v="2026-01-19T14:29:00Z"/>
        <d v="2026-01-17T13:10:00Z"/>
        <d v="2026-01-28T08:03:00Z"/>
        <d v="2026-01-18T03:45:00Z"/>
        <d v="2026-01-03T05:17:00Z"/>
        <d v="2026-01-27T13:05:00Z"/>
        <d v="2026-01-30T00:26:00Z"/>
        <d v="2026-01-12T07:24:00Z"/>
        <d v="2026-01-01T10:59:00Z"/>
        <d v="2026-01-05T01:18:00Z"/>
        <d v="2026-01-23T15:28:00Z"/>
        <d v="2026-01-01T08:13:00Z"/>
        <d v="2026-01-20T16:27:00Z"/>
        <d v="2026-01-10T03:03:00Z"/>
        <d v="2026-01-26T19:29:00Z"/>
        <d v="2026-01-20T17:01:00Z"/>
        <d v="2026-01-08T22:09:00Z"/>
        <d v="2026-01-20T11:15:00Z"/>
        <d v="2026-01-22T21:05:00Z"/>
        <d v="2026-01-17T17:32:00Z"/>
        <d v="2026-01-13T15:02:00Z"/>
        <d v="2026-01-09T23:01:00Z"/>
        <d v="2026-01-08T23:42:00Z"/>
        <d v="2026-01-19T23:48:00Z"/>
        <d v="2026-01-12T17:21:00Z"/>
        <d v="2026-01-22T14:44:00Z"/>
        <d v="2026-01-03T22:49:00Z"/>
        <d v="2026-01-07T01:50:00Z"/>
        <d v="2026-01-30T09:32:00Z"/>
        <d v="2026-01-09T01:48:00Z"/>
        <d v="2026-01-12T01:55:00Z"/>
        <d v="2026-01-04T11:27:00Z"/>
        <d v="2026-01-11T05:31:00Z"/>
        <d v="2026-01-09T02:46:00Z"/>
        <d v="2026-01-20T05:34:00Z"/>
        <d v="2026-01-03T10:42:00Z"/>
        <d v="2026-01-20T22:27:00Z"/>
        <d v="2026-01-15T01:46:00Z"/>
        <d v="2026-01-09T20:50:00Z"/>
        <d v="2026-01-21T12:23:00Z"/>
        <d v="2026-01-05T19:43:00Z"/>
        <d v="2026-01-03T07:49:00Z"/>
        <d v="2026-01-13T18:02:00Z"/>
        <d v="2026-01-15T11:23:00Z"/>
        <d v="2026-01-05T16:23:00Z"/>
        <d v="2026-01-17T12:58:00Z"/>
        <d v="2026-01-25T08:45:00Z"/>
        <d v="2026-01-10T22:58:00Z"/>
        <d v="2026-01-05T02:28:00Z"/>
        <d v="2026-01-26T21:54:00Z"/>
        <d v="2026-01-03T17:34:00Z"/>
        <d v="2026-01-23T22:59:00Z"/>
        <d v="2026-01-17T07:07:00Z"/>
        <d v="2026-01-26T15:01:00Z"/>
        <d v="2026-01-12T14:51:00Z"/>
        <d v="2026-01-29T02:04:00Z"/>
        <d v="2026-01-24T15:33:00Z"/>
        <d v="2026-01-03T04:20:00Z"/>
        <d v="2026-01-15T21:33:00Z"/>
        <d v="2026-01-18T20:37:00Z"/>
        <d v="2026-01-17T01:53:00Z"/>
        <d v="2026-01-10T05:10:00Z"/>
        <d v="2026-01-17T09:54:00Z"/>
        <d v="2026-01-21T17:17:00Z"/>
        <d v="2026-01-18T02:32:00Z"/>
        <d v="2026-01-19T04:10:00Z"/>
        <d v="2026-01-29T19:21:00Z"/>
        <d v="2026-01-03T01:41:00Z"/>
        <d v="2026-01-07T18:26:00Z"/>
        <d v="2026-01-29T20:34:00Z"/>
        <d v="2026-01-08T21:25:00Z"/>
        <d v="2026-01-23T01:10:00Z"/>
        <d v="2026-01-15T06:21:00Z"/>
        <d v="2026-01-28T22:20:00Z"/>
        <d v="2026-01-25T11:32:00Z"/>
        <d v="2026-01-08T14:07:00Z"/>
        <d v="2026-01-05T03:03:00Z"/>
        <d v="2026-01-14T07:55:00Z"/>
        <d v="2026-01-24T10:12:00Z"/>
        <d v="2026-01-15T15:56:00Z"/>
        <d v="2026-01-03T12:32:00Z"/>
        <d v="2026-01-19T11:03:00Z"/>
        <d v="2026-01-20T20:43:00Z"/>
        <d v="2026-01-01T03:27:00Z"/>
        <d v="2026-01-12T12:23:00Z"/>
        <d v="2026-01-19T17:12:00Z"/>
        <d v="2026-01-27T19:43:00Z"/>
        <d v="2026-01-04T12:23:00Z"/>
        <d v="2026-01-25T04:12:00Z"/>
        <d v="2026-01-17T01:02:00Z"/>
        <d v="2026-01-11T15:33:00Z"/>
        <d v="2026-01-29T16:08:00Z"/>
        <d v="2026-01-06T12:39:00Z"/>
        <d v="2026-01-17T16:34:00Z"/>
        <d v="2026-01-16T00:23:00Z"/>
        <d v="2026-01-19T09:50:00Z"/>
        <d v="2026-01-16T08:41:00Z"/>
        <d v="2026-01-24T01:37:00Z"/>
        <d v="2026-01-21T23:39:00Z"/>
        <d v="2026-01-08T01:36:00Z"/>
        <d v="2026-01-15T10:26:00Z"/>
        <d v="2026-01-07T13:32:00Z"/>
        <d v="2026-01-24T01:45:00Z"/>
        <d v="2026-01-18T10:42:00Z"/>
        <d v="2026-01-11T05:29:00Z"/>
        <d v="2026-01-12T21:49:00Z"/>
        <d v="2026-01-16T06:15:00Z"/>
        <d v="2026-01-08T09:49:00Z"/>
        <d v="2026-01-23T15:20:00Z"/>
        <d v="2026-01-30T23:17:00Z"/>
        <d v="2026-01-22T17:24:00Z"/>
        <d v="2026-01-26T04:18:00Z"/>
        <d v="2026-01-03T11:59:00Z"/>
        <d v="2026-01-16T06:12:00Z"/>
        <d v="2026-01-23T08:08:00Z"/>
        <d v="2026-01-19T07:15:00Z"/>
        <d v="2026-01-21T07:03:00Z"/>
        <d v="2026-01-23T15:06:00Z"/>
        <d v="2026-01-18T05:26:00Z"/>
        <d v="2026-01-21T06:48:00Z"/>
        <d v="2026-01-21T01:58:00Z"/>
        <d v="2026-01-18T23:46:00Z"/>
        <d v="2026-01-29T05:59:00Z"/>
        <d v="2026-01-16T05:59:00Z"/>
        <d v="2026-01-10T18:38:00Z"/>
        <d v="2026-01-15T20:34:00Z"/>
        <d v="2026-01-28T16:29:00Z"/>
        <d v="2026-01-11T05:46:00Z"/>
        <d v="2026-01-06T00:47:00Z"/>
        <d v="2026-01-22T06:11:00Z"/>
        <d v="2026-01-17T10:05:00Z"/>
        <d v="2026-01-05T15:20:00Z"/>
        <d v="2026-01-13T07:28:00Z"/>
        <d v="2026-01-19T23:36:00Z"/>
        <d v="2026-01-12T22:15:00Z"/>
        <d v="2026-01-10T05:25:00Z"/>
        <d v="2026-01-04T20:58:00Z"/>
        <d v="2026-01-08T07:08:00Z"/>
        <d v="2026-01-24T19:23:00Z"/>
        <d v="2026-01-25T17:51:00Z"/>
        <d v="2026-01-08T21:48:00Z"/>
        <d v="2026-01-15T16:45:00Z"/>
        <d v="2026-01-04T01:53:00Z"/>
        <d v="2026-01-19T17:09:00Z"/>
        <d v="2026-01-15T03:43:00Z"/>
        <d v="2026-01-03T16:28:00Z"/>
        <d v="2026-01-17T13:29:00Z"/>
        <d v="2026-01-15T21:51:00Z"/>
        <d v="2026-01-09T00:47:00Z"/>
        <d v="2026-01-02T13:22:00Z"/>
        <d v="2026-01-30T02:59:00Z"/>
        <d v="2026-01-14T05:49:00Z"/>
        <d v="2026-01-29T12:28:00Z"/>
        <d v="2026-01-22T21:55:00Z"/>
        <d v="2026-01-28T11:07:00Z"/>
        <d v="2026-01-17T04:46:00Z"/>
        <d v="2026-01-01T09:29:00Z"/>
        <d v="2026-01-18T12:52:00Z"/>
        <d v="2026-01-12T04:17:00Z"/>
        <d v="2026-01-26T21:26:00Z"/>
        <d v="2026-01-07T02:06:00Z"/>
        <d v="2026-01-20T21:45:00Z"/>
        <d v="2026-01-02T12:28:00Z"/>
        <d v="2026-01-25T01:08:00Z"/>
        <d v="2026-01-27T23:36:00Z"/>
        <d v="2026-01-25T21:52:00Z"/>
        <d v="2026-01-29T04:42:00Z"/>
        <d v="2026-01-10T08:03:00Z"/>
        <d v="2026-01-30T05:40:00Z"/>
        <d v="2026-01-16T01:22:00Z"/>
        <d v="2026-01-17T10:44:00Z"/>
        <d v="2026-01-10T12:11:00Z"/>
        <d v="2026-01-28T07:19:00Z"/>
        <d v="2026-01-18T13:26:00Z"/>
        <d v="2026-01-13T07:16:00Z"/>
        <d v="2026-01-03T14:54:00Z"/>
        <d v="2026-01-24T06:03:00Z"/>
        <d v="2026-01-20T19:02:00Z"/>
        <d v="2026-01-19T23:42:00Z"/>
        <d v="2026-01-07T10:19:00Z"/>
        <d v="2026-01-24T03:47:00Z"/>
        <d v="2026-01-20T22:13:00Z"/>
        <d v="2026-01-11T09:24:00Z"/>
        <d v="2026-01-12T09:16:00Z"/>
        <d v="2026-01-15T03:51:00Z"/>
        <d v="2026-01-12T10:26:00Z"/>
        <d v="2026-01-24T04:01:00Z"/>
        <d v="2026-01-19T23:26:00Z"/>
        <d v="2026-01-11T07:24:00Z"/>
        <d v="2026-01-18T20:43:00Z"/>
        <d v="2026-01-27T15:46:00Z"/>
        <d v="2026-01-06T23:50:00Z"/>
        <d v="2026-01-24T17:31:00Z"/>
        <d v="2026-01-02T16:02:00Z"/>
        <d v="2026-01-01T13:08:00Z"/>
        <d v="2026-01-23T04:00:00Z"/>
        <d v="2026-01-12T01:39:00Z"/>
        <d v="2026-01-22T15:01:00Z"/>
        <d v="2026-01-14T00:01:00Z"/>
        <d v="2026-01-10T00:32:00Z"/>
        <d v="2026-01-04T03:33:00Z"/>
        <d v="2026-01-20T16:16:00Z"/>
        <d v="2026-01-03T11:25:00Z"/>
        <d v="2026-01-13T12:24:00Z"/>
        <d v="2026-01-21T00:44:00Z"/>
        <d v="2026-01-28T13:41:00Z"/>
        <d v="2026-01-29T16:58:00Z"/>
        <d v="2026-01-29T22:56:00Z"/>
        <d v="2026-01-02T02:43:00Z"/>
        <d v="2026-01-22T01:11:00Z"/>
        <d v="2026-01-19T04:48:00Z"/>
        <d v="2026-01-06T18:15:00Z"/>
        <d v="2026-01-29T17:21:00Z"/>
        <d v="2026-01-24T02:32:00Z"/>
        <d v="2026-01-14T07:53:00Z"/>
        <d v="2026-01-25T19:38:00Z"/>
        <d v="2026-01-21T08:50:00Z"/>
        <d v="2026-01-12T17:24:00Z"/>
        <d v="2026-01-19T21:24:00Z"/>
        <d v="2026-01-26T07:45:00Z"/>
        <d v="2026-01-05T12:45:00Z"/>
        <d v="2026-01-13T10:23:00Z"/>
        <d v="2026-01-10T14:23:00Z"/>
        <d v="2026-01-03T05:27:00Z"/>
        <d v="2026-01-17T13:06:00Z"/>
        <d v="2026-01-18T02:38:00Z"/>
        <d v="2026-01-01T09:26:00Z"/>
        <d v="2026-01-29T17:57:00Z"/>
        <d v="2026-01-06T21:24:00Z"/>
        <d v="2026-01-10T08:31:00Z"/>
        <d v="2026-01-14T08:26:00Z"/>
        <d v="2026-01-03T11:16:00Z"/>
        <d v="2026-01-30T06:00:00Z"/>
        <d v="2026-01-11T12:00:00Z"/>
        <d v="2026-01-21T14:00:00Z"/>
        <d v="2026-01-21T19:00:00Z"/>
        <d v="2026-01-16T12:00:00Z"/>
        <d v="2026-01-29T07:00:00Z"/>
        <d v="2026-01-23T11:00:00Z"/>
        <d v="2026-01-28T05:00:00Z"/>
        <d v="2026-01-25T22:00:00Z"/>
        <d v="2026-01-13T13:00:00Z"/>
        <d v="2026-01-20T07:00:00Z"/>
        <d v="2026-01-23T02:00:00Z"/>
        <d v="2026-01-23T17:00:00Z"/>
        <d v="2026-01-22T22:00:00Z"/>
        <d v="2026-01-18T21:00:00Z"/>
        <d v="2026-01-02T18:00:00Z"/>
        <d v="2026-01-02T18:01:00Z"/>
        <d v="2026-01-02T18:02:00Z"/>
        <d v="2026-01-02T18:03:00Z"/>
        <d v="2026-01-12T12:00:00Z"/>
        <d v="2026-01-12T12:01:00Z"/>
        <d v="2026-01-12T12:02:00Z"/>
        <d v="2026-01-12T12:03:00Z"/>
        <d v="2026-01-12T09:00:00Z"/>
        <d v="2026-01-12T09:01:00Z"/>
        <d v="2026-01-12T09:02:00Z"/>
        <d v="2026-01-12T09:03:00Z"/>
        <d v="2026-01-02T22:00:00Z"/>
        <d v="2026-01-02T22:01:00Z"/>
        <d v="2026-01-02T22:02:00Z"/>
        <d v="2026-01-02T22:03:00Z"/>
        <d v="2026-01-14T14:00:00Z"/>
        <d v="2026-01-14T14:01:00Z"/>
        <d v="2026-01-14T14:02:00Z"/>
        <d v="2026-01-14T14:03:00Z"/>
        <d v="2026-01-01T22:00:00Z"/>
        <d v="2026-01-01T22:01:00Z"/>
        <d v="2026-01-01T22:02:00Z"/>
        <d v="2026-01-01T22:03:00Z"/>
        <d v="2026-01-09T21:00:00Z"/>
        <d v="2026-01-09T21:01:00Z"/>
        <d v="2026-01-09T21:02:00Z"/>
        <d v="2026-01-09T21:03:00Z"/>
        <d v="2026-01-23T09:00:00Z"/>
        <d v="2026-01-23T09:01:00Z"/>
        <d v="2026-01-23T09:02:00Z"/>
        <d v="2026-01-23T09:03:00Z"/>
      </sharedItems>
    </cacheField>
    <cacheField name="amount_inr" numFmtId="0">
      <sharedItems containsSemiMixedTypes="0" containsString="0" containsNumber="1" containsInteger="1">
        <n v="2999.0"/>
        <n v="49.0"/>
        <n v="1499.0"/>
        <n v="99.0"/>
        <n v="799.0"/>
        <n v="299.0"/>
        <n v="499.0"/>
        <n v="149.0"/>
        <n v="4999.0"/>
        <n v="1999.0"/>
        <n v="999.0"/>
        <n v="399.0"/>
      </sharedItems>
    </cacheField>
    <cacheField name="payment_method" numFmtId="0">
      <sharedItems>
        <s v="Wallet"/>
        <s v="UPI"/>
        <s v="Netbanking"/>
        <s v="Card"/>
      </sharedItems>
    </cacheField>
    <cacheField name="status" numFmtId="0">
      <sharedItems>
        <s v="captured"/>
        <s v="failed"/>
        <s v="chargeback"/>
      </sharedItems>
    </cacheField>
    <cacheField name="risk_score" numFmtId="0">
      <sharedItems containsSemiMixedTypes="0" containsString="0" containsNumber="1" containsInteger="1">
        <n v="85.0"/>
        <n v="79.0"/>
        <n v="22.0"/>
        <n v="100.0"/>
        <n v="34.0"/>
        <n v="60.0"/>
        <n v="39.0"/>
        <n v="51.0"/>
        <n v="44.0"/>
        <n v="42.0"/>
        <n v="74.0"/>
        <n v="14.0"/>
        <n v="90.0"/>
        <n v="46.0"/>
        <n v="40.0"/>
        <n v="70.0"/>
        <n v="86.0"/>
        <n v="55.0"/>
        <n v="59.0"/>
        <n v="36.0"/>
        <n v="11.0"/>
        <n v="25.0"/>
        <n v="78.0"/>
        <n v="24.0"/>
        <n v="31.0"/>
        <n v="99.0"/>
        <n v="6.0"/>
        <n v="17.0"/>
        <n v="76.0"/>
        <n v="33.0"/>
        <n v="98.0"/>
        <n v="35.0"/>
        <n v="8.0"/>
        <n v="53.0"/>
        <n v="61.0"/>
        <n v="68.0"/>
        <n v="62.0"/>
        <n v="49.0"/>
        <n v="50.0"/>
        <n v="82.0"/>
        <n v="41.0"/>
        <n v="10.0"/>
        <n v="96.0"/>
        <n v="19.0"/>
        <n v="72.0"/>
        <n v="21.0"/>
        <n v="75.0"/>
        <n v="87.0"/>
        <n v="64.0"/>
        <n v="13.0"/>
        <n v="43.0"/>
        <n v="1.0"/>
        <n v="57.0"/>
        <n v="47.0"/>
        <n v="95.0"/>
        <n v="15.0"/>
        <n v="27.0"/>
        <n v="29.0"/>
        <n v="16.0"/>
        <n v="89.0"/>
        <n v="28.0"/>
        <n v="38.0"/>
        <n v="80.0"/>
        <n v="30.0"/>
        <n v="52.0"/>
        <n v="4.0"/>
        <n v="9.0"/>
        <n v="84.0"/>
        <n v="5.0"/>
        <n v="32.0"/>
        <n v="58.0"/>
        <n v="26.0"/>
        <n v="0.0"/>
        <n v="73.0"/>
        <n v="12.0"/>
        <n v="83.0"/>
        <n v="69.0"/>
        <n v="56.0"/>
        <n v="63.0"/>
        <n v="81.0"/>
        <n v="88.0"/>
        <n v="77.0"/>
        <n v="71.0"/>
        <n v="7.0"/>
        <n v="2.0"/>
        <n v="65.0"/>
        <n v="37.0"/>
        <n v="97.0"/>
        <n v="54.0"/>
        <n v="67.0"/>
        <n v="93.0"/>
        <n v="91.0"/>
        <n v="48.0"/>
        <n v="18.0"/>
        <n v="23.0"/>
        <n v="66.0"/>
        <n v="3.0"/>
        <n v="20.0"/>
        <n v="92.0"/>
        <n v="94.0"/>
        <n v="45.0"/>
      </sharedItems>
    </cacheField>
    <cacheField name="merchant_name" numFmtId="0">
      <sharedItems>
        <s v="Merchant_016"/>
        <s v="Merchant_027"/>
        <s v="Merchant_011"/>
        <s v="Merchant_022"/>
        <s v="Merchant_003"/>
        <s v="Merchant_023"/>
        <s v="Merchant_013"/>
        <s v="Merchant_018"/>
        <s v="Merchant_035"/>
        <s v="Merchant_012"/>
        <s v="Merchant_028"/>
        <s v="Merchant_033"/>
        <s v="Merchant_040"/>
        <s v="Merchant_019"/>
        <s v="Merchant_025"/>
        <s v="Merchant_020"/>
        <s v="Merchant_014"/>
        <s v="Merchant_021"/>
        <s v="Merchant_006"/>
        <s v="Merchant_015"/>
        <s v="Merchant_031"/>
        <s v="Merchant_037"/>
        <s v="Merchant_026"/>
        <s v="Merchant_007"/>
        <s v="Merchant_030"/>
        <s v="Merchant_036"/>
        <s v="Merchant_029"/>
        <s v="Merchant_002"/>
        <s v="Merchant_017"/>
        <s v="Merchant_004"/>
        <s v="Merchant_008"/>
        <s v="Merchant_024"/>
        <s v="Merchant_005"/>
        <s v="Merchant_032"/>
        <s v="Merchant_010"/>
        <s v="Merchant_038"/>
        <s v="Merchant_034"/>
        <s v="Merchant_001"/>
        <s v="Merchant_039"/>
        <s v="Merchant_009"/>
      </sharedItems>
    </cacheField>
    <cacheField name="cetegory" numFmtId="0">
      <sharedItems>
        <s v="entertainment"/>
        <s v="recharge"/>
        <s v="ecommerce"/>
        <s v="travel"/>
        <s v="grocery"/>
        <s v="food_delivery"/>
        <s v="bill_payment"/>
      </sharedItems>
    </cacheField>
    <cacheField name="region" numFmtId="0">
      <sharedItems>
        <s v="North"/>
        <s v="South"/>
        <s v="West"/>
        <s v="East"/>
      </sharedItems>
    </cacheField>
    <cacheField name="mdr_fee_%" numFmtId="0">
      <sharedItems containsSemiMixedTypes="0" containsString="0" containsNumber="1">
        <n v="1.0"/>
        <n v="0.5"/>
        <n v="1.5"/>
        <n v="1.8"/>
      </sharedItems>
    </cacheField>
    <cacheField name="classification" numFmtId="0">
      <sharedItems>
        <s v="High-Value Merchant Day"/>
        <s v="Normal"/>
      </sharedItems>
    </cacheField>
    <cacheField name=" 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I44" firstHeaderRow="0" firstDataRow="2" firstDataCol="1"/>
  <pivotFields>
    <pivotField name="transaction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t="default"/>
      </items>
    </pivotField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t="default"/>
      </items>
    </pivotField>
    <pivotField name="merchant_id" axis="axisRow" compact="0" outline="0" multipleItemSelectionAllowed="1" showAll="0" sortType="ascending">
      <items>
        <item x="37"/>
        <item x="27"/>
        <item x="4"/>
        <item x="29"/>
        <item x="32"/>
        <item x="18"/>
        <item x="23"/>
        <item x="30"/>
        <item x="39"/>
        <item x="34"/>
        <item x="2"/>
        <item x="9"/>
        <item x="6"/>
        <item x="16"/>
        <item x="19"/>
        <item x="0"/>
        <item x="28"/>
        <item x="7"/>
        <item x="13"/>
        <item x="15"/>
        <item x="17"/>
        <item x="3"/>
        <item x="5"/>
        <item x="31"/>
        <item x="14"/>
        <item x="22"/>
        <item x="1"/>
        <item x="10"/>
        <item x="26"/>
        <item x="24"/>
        <item x="20"/>
        <item x="33"/>
        <item x="11"/>
        <item x="36"/>
        <item x="8"/>
        <item x="25"/>
        <item x="21"/>
        <item x="35"/>
        <item x="38"/>
        <item x="12"/>
        <item t="default"/>
      </items>
    </pivotField>
    <pivotField name="transaction_ti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t="default"/>
      </items>
    </pivotField>
    <pivotField name="amount_in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  <pivotField name="status" axis="axisCol" compact="0" outline="0" multipleItemSelectionAllowed="1" showAll="0" sortType="ascending">
      <items>
        <item x="0"/>
        <item x="2"/>
        <item x="1"/>
        <item t="default"/>
      </items>
    </pivotField>
    <pivotField name="risk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merchan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cetegor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mdr_fee_%" compact="0" outline="0" multipleItemSelectionAllowed="1" showAll="0">
      <items>
        <item x="0"/>
        <item x="1"/>
        <item x="2"/>
        <item x="3"/>
        <item t="default"/>
      </items>
    </pivotField>
    <pivotField name="classification" compact="0" outline="0" multipleItemSelectionAllowed="1" showAll="0">
      <items>
        <item x="0"/>
        <item x="1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2"/>
  </rowFields>
  <colFields>
    <field x="6"/>
    <field x="-2"/>
  </colFields>
  <dataFields>
    <dataField name="SUM of amount_inr" fld="4" baseField="0"/>
    <dataField name="COUNTA of transaction_id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17.0"/>
    <col customWidth="1" min="5" max="6" width="14.5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/>
      <c r="F1" s="1"/>
    </row>
    <row r="2">
      <c r="A2" s="1">
        <v>1.0</v>
      </c>
      <c r="B2" s="1" t="s">
        <v>12</v>
      </c>
      <c r="C2" s="1" t="s">
        <v>14</v>
      </c>
      <c r="D2" s="2" t="s">
        <v>16</v>
      </c>
      <c r="E2" s="1"/>
      <c r="F2" s="1"/>
    </row>
    <row r="3">
      <c r="A3" s="1">
        <v>2.0</v>
      </c>
      <c r="B3" s="1" t="s">
        <v>21</v>
      </c>
      <c r="C3" s="1" t="s">
        <v>22</v>
      </c>
      <c r="D3" s="2" t="s">
        <v>24</v>
      </c>
      <c r="E3" s="1"/>
      <c r="F3" s="1"/>
    </row>
    <row r="4">
      <c r="A4" s="1">
        <v>3.0</v>
      </c>
      <c r="B4" s="1" t="s">
        <v>28</v>
      </c>
      <c r="C4" s="1" t="s">
        <v>14</v>
      </c>
      <c r="D4" s="2" t="s">
        <v>31</v>
      </c>
      <c r="E4" s="1"/>
      <c r="F4" s="1"/>
    </row>
    <row r="5">
      <c r="A5" s="1">
        <v>4.0</v>
      </c>
      <c r="B5" s="1" t="s">
        <v>33</v>
      </c>
      <c r="C5" s="1" t="s">
        <v>34</v>
      </c>
      <c r="D5" s="2" t="s">
        <v>16</v>
      </c>
      <c r="E5" s="1"/>
      <c r="F5" s="1"/>
    </row>
    <row r="6">
      <c r="A6" s="1">
        <v>5.0</v>
      </c>
      <c r="B6" s="1" t="s">
        <v>37</v>
      </c>
      <c r="C6" s="1" t="s">
        <v>38</v>
      </c>
      <c r="D6" s="2" t="s">
        <v>16</v>
      </c>
      <c r="E6" s="1"/>
      <c r="F6" s="1"/>
    </row>
    <row r="7">
      <c r="A7" s="1">
        <v>6.0</v>
      </c>
      <c r="B7" s="1" t="s">
        <v>39</v>
      </c>
      <c r="C7" s="1" t="s">
        <v>14</v>
      </c>
      <c r="D7" s="2" t="s">
        <v>24</v>
      </c>
      <c r="E7" s="1"/>
      <c r="F7" s="1"/>
    </row>
    <row r="8">
      <c r="A8" s="1">
        <v>7.0</v>
      </c>
      <c r="B8" s="1" t="s">
        <v>40</v>
      </c>
      <c r="C8" s="1" t="s">
        <v>41</v>
      </c>
      <c r="D8" s="2" t="s">
        <v>24</v>
      </c>
      <c r="E8" s="1"/>
      <c r="F8" s="1"/>
    </row>
    <row r="9">
      <c r="A9" s="1">
        <v>8.0</v>
      </c>
      <c r="B9" s="1" t="s">
        <v>42</v>
      </c>
      <c r="C9" s="1" t="s">
        <v>43</v>
      </c>
      <c r="D9" s="2" t="s">
        <v>44</v>
      </c>
      <c r="E9" s="1"/>
      <c r="F9" s="1"/>
    </row>
    <row r="10">
      <c r="A10" s="1">
        <v>9.0</v>
      </c>
      <c r="B10" s="1" t="s">
        <v>45</v>
      </c>
      <c r="C10" s="1" t="s">
        <v>14</v>
      </c>
      <c r="D10" s="2" t="s">
        <v>16</v>
      </c>
      <c r="E10" s="1"/>
      <c r="F10" s="1"/>
    </row>
    <row r="11">
      <c r="A11" s="1">
        <v>10.0</v>
      </c>
      <c r="B11" s="1" t="s">
        <v>46</v>
      </c>
      <c r="C11" s="1" t="s">
        <v>34</v>
      </c>
      <c r="D11" s="2" t="s">
        <v>31</v>
      </c>
      <c r="E11" s="1"/>
      <c r="F11" s="1"/>
    </row>
    <row r="12">
      <c r="A12" s="1">
        <v>11.0</v>
      </c>
      <c r="B12" s="1" t="s">
        <v>47</v>
      </c>
      <c r="C12" s="1" t="s">
        <v>22</v>
      </c>
      <c r="D12" s="2" t="s">
        <v>16</v>
      </c>
      <c r="E12" s="1"/>
      <c r="F12" s="1"/>
    </row>
    <row r="13">
      <c r="A13" s="1">
        <v>12.0</v>
      </c>
      <c r="B13" s="1" t="s">
        <v>48</v>
      </c>
      <c r="C13" s="1" t="s">
        <v>38</v>
      </c>
      <c r="D13" s="2" t="s">
        <v>24</v>
      </c>
      <c r="E13" s="1"/>
      <c r="F13" s="1"/>
    </row>
    <row r="14">
      <c r="A14" s="1">
        <v>13.0</v>
      </c>
      <c r="B14" s="1" t="s">
        <v>49</v>
      </c>
      <c r="C14" s="1" t="s">
        <v>50</v>
      </c>
      <c r="D14" s="2" t="s">
        <v>44</v>
      </c>
      <c r="E14" s="1"/>
      <c r="F14" s="1"/>
    </row>
    <row r="15">
      <c r="A15" s="1">
        <v>14.0</v>
      </c>
      <c r="B15" s="1" t="s">
        <v>51</v>
      </c>
      <c r="C15" s="1" t="s">
        <v>34</v>
      </c>
      <c r="D15" s="2" t="s">
        <v>24</v>
      </c>
      <c r="E15" s="1"/>
      <c r="F15" s="1"/>
    </row>
    <row r="16">
      <c r="A16" s="1">
        <v>15.0</v>
      </c>
      <c r="B16" s="1" t="s">
        <v>52</v>
      </c>
      <c r="C16" s="1" t="s">
        <v>43</v>
      </c>
      <c r="D16" s="2" t="s">
        <v>16</v>
      </c>
      <c r="E16" s="1"/>
      <c r="F16" s="1"/>
    </row>
    <row r="17">
      <c r="A17" s="1">
        <v>16.0</v>
      </c>
      <c r="B17" s="1" t="s">
        <v>53</v>
      </c>
      <c r="C17" s="1" t="s">
        <v>14</v>
      </c>
      <c r="D17" s="2" t="s">
        <v>44</v>
      </c>
      <c r="E17" s="1"/>
      <c r="F17" s="1"/>
    </row>
    <row r="18">
      <c r="A18" s="1">
        <v>17.0</v>
      </c>
      <c r="B18" s="1" t="s">
        <v>55</v>
      </c>
      <c r="C18" s="1" t="s">
        <v>41</v>
      </c>
      <c r="D18" s="2" t="s">
        <v>31</v>
      </c>
      <c r="E18" s="1"/>
      <c r="F18" s="1"/>
    </row>
    <row r="19">
      <c r="A19" s="1">
        <v>18.0</v>
      </c>
      <c r="B19" s="1" t="s">
        <v>56</v>
      </c>
      <c r="C19" s="1" t="s">
        <v>34</v>
      </c>
      <c r="D19" s="2" t="s">
        <v>24</v>
      </c>
      <c r="E19" s="1"/>
      <c r="F19" s="1"/>
    </row>
    <row r="20">
      <c r="A20" s="1">
        <v>19.0</v>
      </c>
      <c r="B20" s="1" t="s">
        <v>57</v>
      </c>
      <c r="C20" s="1" t="s">
        <v>22</v>
      </c>
      <c r="D20" s="2" t="s">
        <v>44</v>
      </c>
      <c r="E20" s="1"/>
      <c r="F20" s="1"/>
    </row>
    <row r="21">
      <c r="A21" s="1">
        <v>20.0</v>
      </c>
      <c r="B21" s="1" t="s">
        <v>58</v>
      </c>
      <c r="C21" s="1" t="s">
        <v>14</v>
      </c>
      <c r="D21" s="2" t="s">
        <v>16</v>
      </c>
      <c r="E21" s="1"/>
      <c r="F21" s="1"/>
    </row>
    <row r="22">
      <c r="A22" s="1">
        <v>21.0</v>
      </c>
      <c r="B22" s="1" t="s">
        <v>60</v>
      </c>
      <c r="C22" s="1" t="s">
        <v>38</v>
      </c>
      <c r="D22" s="2" t="s">
        <v>44</v>
      </c>
      <c r="E22" s="1"/>
      <c r="F22" s="1"/>
    </row>
    <row r="23">
      <c r="A23" s="1">
        <v>22.0</v>
      </c>
      <c r="B23" s="1" t="s">
        <v>61</v>
      </c>
      <c r="C23" s="1" t="s">
        <v>50</v>
      </c>
      <c r="D23" s="2" t="s">
        <v>16</v>
      </c>
      <c r="E23" s="1"/>
      <c r="F23" s="1"/>
    </row>
    <row r="24">
      <c r="A24" s="1">
        <v>23.0</v>
      </c>
      <c r="B24" s="1" t="s">
        <v>63</v>
      </c>
      <c r="C24" s="1" t="s">
        <v>43</v>
      </c>
      <c r="D24" s="2" t="s">
        <v>24</v>
      </c>
      <c r="E24" s="1"/>
      <c r="F24" s="1"/>
    </row>
    <row r="25">
      <c r="A25" s="1">
        <v>24.0</v>
      </c>
      <c r="B25" s="1" t="s">
        <v>66</v>
      </c>
      <c r="C25" s="1" t="s">
        <v>41</v>
      </c>
      <c r="D25" s="2" t="s">
        <v>44</v>
      </c>
      <c r="E25" s="1"/>
      <c r="F25" s="1"/>
    </row>
    <row r="26">
      <c r="A26" s="1">
        <v>25.0</v>
      </c>
      <c r="B26" s="1" t="s">
        <v>70</v>
      </c>
      <c r="C26" s="1" t="s">
        <v>34</v>
      </c>
      <c r="D26" s="2" t="s">
        <v>31</v>
      </c>
      <c r="E26" s="1"/>
      <c r="F26" s="1"/>
    </row>
    <row r="27">
      <c r="A27" s="1">
        <v>26.0</v>
      </c>
      <c r="B27" s="1" t="s">
        <v>71</v>
      </c>
      <c r="C27" s="1" t="s">
        <v>14</v>
      </c>
      <c r="D27" s="2" t="s">
        <v>16</v>
      </c>
      <c r="E27" s="1"/>
      <c r="F27" s="1"/>
    </row>
    <row r="28">
      <c r="A28" s="1">
        <v>27.0</v>
      </c>
      <c r="B28" s="1" t="s">
        <v>72</v>
      </c>
      <c r="C28" s="1" t="s">
        <v>22</v>
      </c>
      <c r="D28" s="2" t="s">
        <v>24</v>
      </c>
      <c r="E28" s="1"/>
      <c r="F28" s="1"/>
    </row>
    <row r="29">
      <c r="A29" s="1">
        <v>28.0</v>
      </c>
      <c r="B29" s="1" t="s">
        <v>73</v>
      </c>
      <c r="C29" s="1" t="s">
        <v>38</v>
      </c>
      <c r="D29" s="2" t="s">
        <v>31</v>
      </c>
      <c r="E29" s="1"/>
      <c r="F29" s="1"/>
    </row>
    <row r="30">
      <c r="A30" s="1">
        <v>29.0</v>
      </c>
      <c r="B30" s="1" t="s">
        <v>74</v>
      </c>
      <c r="C30" s="1" t="s">
        <v>50</v>
      </c>
      <c r="D30" s="2" t="s">
        <v>44</v>
      </c>
      <c r="E30" s="1"/>
      <c r="F30" s="1"/>
    </row>
    <row r="31">
      <c r="A31" s="1">
        <v>30.0</v>
      </c>
      <c r="B31" s="1" t="s">
        <v>75</v>
      </c>
      <c r="C31" s="1" t="s">
        <v>43</v>
      </c>
      <c r="D31" s="2" t="s">
        <v>16</v>
      </c>
      <c r="E31" s="1"/>
      <c r="F31" s="1"/>
    </row>
    <row r="32">
      <c r="A32" s="1">
        <v>31.0</v>
      </c>
      <c r="B32" s="1" t="s">
        <v>76</v>
      </c>
      <c r="C32" s="1" t="s">
        <v>41</v>
      </c>
      <c r="D32" s="2" t="s">
        <v>24</v>
      </c>
      <c r="E32" s="1"/>
      <c r="F32" s="1"/>
    </row>
    <row r="33">
      <c r="A33" s="1">
        <v>32.0</v>
      </c>
      <c r="B33" s="1" t="s">
        <v>78</v>
      </c>
      <c r="C33" s="1" t="s">
        <v>34</v>
      </c>
      <c r="D33" s="2" t="s">
        <v>44</v>
      </c>
      <c r="E33" s="1"/>
      <c r="F33" s="1"/>
    </row>
    <row r="34">
      <c r="A34" s="1">
        <v>33.0</v>
      </c>
      <c r="B34" s="1" t="s">
        <v>80</v>
      </c>
      <c r="C34" s="1" t="s">
        <v>14</v>
      </c>
      <c r="D34" s="2" t="s">
        <v>31</v>
      </c>
      <c r="E34" s="1"/>
      <c r="F34" s="1"/>
    </row>
    <row r="35">
      <c r="A35" s="1">
        <v>34.0</v>
      </c>
      <c r="B35" s="1" t="s">
        <v>81</v>
      </c>
      <c r="C35" s="1" t="s">
        <v>22</v>
      </c>
      <c r="D35" s="2" t="s">
        <v>16</v>
      </c>
      <c r="E35" s="1"/>
      <c r="F35" s="1"/>
    </row>
    <row r="36">
      <c r="A36" s="1">
        <v>35.0</v>
      </c>
      <c r="B36" s="1" t="s">
        <v>82</v>
      </c>
      <c r="C36" s="1" t="s">
        <v>38</v>
      </c>
      <c r="D36" s="2" t="s">
        <v>24</v>
      </c>
      <c r="E36" s="1"/>
      <c r="F36" s="1"/>
    </row>
    <row r="37">
      <c r="A37" s="1">
        <v>36.0</v>
      </c>
      <c r="B37" s="1" t="s">
        <v>83</v>
      </c>
      <c r="C37" s="1" t="s">
        <v>50</v>
      </c>
      <c r="D37" s="2" t="s">
        <v>31</v>
      </c>
      <c r="E37" s="1"/>
      <c r="F37" s="1"/>
    </row>
    <row r="38">
      <c r="A38" s="1">
        <v>37.0</v>
      </c>
      <c r="B38" s="1" t="s">
        <v>84</v>
      </c>
      <c r="C38" s="1" t="s">
        <v>43</v>
      </c>
      <c r="D38" s="2" t="s">
        <v>44</v>
      </c>
      <c r="E38" s="1"/>
      <c r="F38" s="1"/>
    </row>
    <row r="39">
      <c r="A39" s="1">
        <v>38.0</v>
      </c>
      <c r="B39" s="1" t="s">
        <v>85</v>
      </c>
      <c r="C39" s="1" t="s">
        <v>41</v>
      </c>
      <c r="D39" s="2" t="s">
        <v>16</v>
      </c>
      <c r="E39" s="1"/>
      <c r="F39" s="1"/>
    </row>
    <row r="40">
      <c r="A40" s="1">
        <v>39.0</v>
      </c>
      <c r="B40" s="1" t="s">
        <v>87</v>
      </c>
      <c r="C40" s="1" t="s">
        <v>34</v>
      </c>
      <c r="D40" s="2" t="s">
        <v>24</v>
      </c>
      <c r="E40" s="1"/>
      <c r="F40" s="1"/>
    </row>
    <row r="41">
      <c r="A41" s="1">
        <v>40.0</v>
      </c>
      <c r="B41" s="1" t="s">
        <v>88</v>
      </c>
      <c r="C41" s="1" t="s">
        <v>50</v>
      </c>
      <c r="D41" s="2" t="s">
        <v>44</v>
      </c>
      <c r="E41" s="1"/>
      <c r="F41" s="1"/>
    </row>
    <row r="42">
      <c r="A42" s="3"/>
      <c r="B42" s="3"/>
      <c r="C42" s="3"/>
      <c r="E42" s="3"/>
      <c r="F42" s="3"/>
    </row>
    <row r="43">
      <c r="A43" s="3"/>
      <c r="B43" s="3"/>
      <c r="C43" s="3"/>
      <c r="E43" s="3"/>
      <c r="F43" s="3"/>
    </row>
    <row r="44">
      <c r="A44" s="3"/>
      <c r="B44" s="3"/>
      <c r="C44" s="3"/>
      <c r="E44" s="3"/>
      <c r="F44" s="3"/>
    </row>
    <row r="45">
      <c r="A45" s="3"/>
      <c r="B45" s="3"/>
      <c r="C45" s="3"/>
      <c r="E45" s="3"/>
      <c r="F45" s="3"/>
    </row>
    <row r="46">
      <c r="A46" s="3"/>
      <c r="B46" s="3"/>
      <c r="C46" s="3"/>
      <c r="E46" s="3"/>
      <c r="F46" s="3"/>
    </row>
    <row r="47">
      <c r="A47" s="3"/>
      <c r="B47" s="3"/>
      <c r="C47" s="3"/>
      <c r="E47" s="3"/>
      <c r="F47" s="3"/>
    </row>
    <row r="48">
      <c r="A48" s="3"/>
      <c r="B48" s="3"/>
      <c r="C48" s="3"/>
      <c r="E48" s="3"/>
      <c r="F48" s="3"/>
    </row>
    <row r="49">
      <c r="A49" s="3"/>
      <c r="B49" s="3"/>
      <c r="C49" s="3"/>
      <c r="E49" s="3"/>
      <c r="F49" s="3"/>
    </row>
    <row r="50">
      <c r="A50" s="3"/>
      <c r="B50" s="3"/>
      <c r="C50" s="3"/>
      <c r="E50" s="3"/>
      <c r="F50" s="3"/>
    </row>
    <row r="51">
      <c r="A51" s="3"/>
      <c r="B51" s="3"/>
      <c r="C51" s="3"/>
      <c r="E51" s="3"/>
      <c r="F51" s="3"/>
    </row>
    <row r="52">
      <c r="A52" s="3"/>
      <c r="B52" s="3"/>
      <c r="C52" s="3"/>
      <c r="E52" s="3"/>
      <c r="F52" s="3"/>
    </row>
    <row r="53">
      <c r="A53" s="3"/>
      <c r="B53" s="3"/>
      <c r="C53" s="3"/>
      <c r="E53" s="3"/>
      <c r="F53" s="3"/>
    </row>
    <row r="54">
      <c r="A54" s="3"/>
      <c r="B54" s="3"/>
      <c r="C54" s="3"/>
      <c r="E54" s="3"/>
      <c r="F54" s="3"/>
    </row>
    <row r="55">
      <c r="A55" s="3"/>
      <c r="B55" s="3"/>
      <c r="C55" s="3"/>
      <c r="E55" s="3"/>
      <c r="F55" s="3"/>
    </row>
    <row r="56">
      <c r="A56" s="3"/>
      <c r="B56" s="3"/>
      <c r="C56" s="3"/>
      <c r="E56" s="3"/>
      <c r="F56" s="3"/>
    </row>
    <row r="57">
      <c r="A57" s="3"/>
      <c r="B57" s="3"/>
      <c r="C57" s="3"/>
      <c r="E57" s="3"/>
      <c r="F57" s="3"/>
    </row>
    <row r="58">
      <c r="A58" s="3"/>
      <c r="B58" s="3"/>
      <c r="C58" s="3"/>
      <c r="E58" s="3"/>
      <c r="F58" s="3"/>
    </row>
    <row r="59">
      <c r="A59" s="3"/>
      <c r="B59" s="3"/>
      <c r="C59" s="3"/>
      <c r="E59" s="3"/>
      <c r="F59" s="3"/>
    </row>
    <row r="60">
      <c r="A60" s="3"/>
      <c r="B60" s="3"/>
      <c r="C60" s="3"/>
      <c r="E60" s="3"/>
      <c r="F60" s="3"/>
    </row>
    <row r="61">
      <c r="A61" s="3"/>
      <c r="B61" s="3"/>
      <c r="C61" s="3"/>
      <c r="E61" s="3"/>
      <c r="F61" s="3"/>
    </row>
    <row r="62">
      <c r="A62" s="3"/>
      <c r="B62" s="3"/>
      <c r="C62" s="3"/>
      <c r="E62" s="3"/>
      <c r="F62" s="3"/>
    </row>
    <row r="63">
      <c r="A63" s="3"/>
      <c r="B63" s="3"/>
      <c r="C63" s="3"/>
      <c r="E63" s="3"/>
      <c r="F63" s="3"/>
    </row>
    <row r="64">
      <c r="A64" s="3"/>
      <c r="B64" s="3"/>
      <c r="C64" s="3"/>
      <c r="E64" s="3"/>
      <c r="F64" s="3"/>
    </row>
    <row r="65">
      <c r="A65" s="3"/>
      <c r="B65" s="3"/>
      <c r="C65" s="3"/>
      <c r="E65" s="3"/>
      <c r="F65" s="3"/>
    </row>
    <row r="66">
      <c r="A66" s="3"/>
      <c r="B66" s="3"/>
      <c r="C66" s="3"/>
      <c r="E66" s="3"/>
      <c r="F66" s="3"/>
    </row>
    <row r="67">
      <c r="A67" s="3"/>
      <c r="B67" s="3"/>
      <c r="C67" s="3"/>
      <c r="E67" s="3"/>
      <c r="F67" s="3"/>
    </row>
    <row r="68">
      <c r="A68" s="3"/>
      <c r="B68" s="3"/>
      <c r="C68" s="3"/>
      <c r="E68" s="3"/>
      <c r="F68" s="3"/>
    </row>
    <row r="69">
      <c r="A69" s="3"/>
      <c r="B69" s="3"/>
      <c r="C69" s="3"/>
      <c r="E69" s="3"/>
      <c r="F69" s="3"/>
    </row>
    <row r="70">
      <c r="A70" s="3"/>
      <c r="B70" s="3"/>
      <c r="C70" s="3"/>
      <c r="E70" s="3"/>
      <c r="F70" s="3"/>
    </row>
    <row r="71">
      <c r="A71" s="3"/>
      <c r="B71" s="3"/>
      <c r="C71" s="3"/>
      <c r="E71" s="3"/>
      <c r="F71" s="3"/>
    </row>
    <row r="72">
      <c r="A72" s="3"/>
      <c r="B72" s="3"/>
      <c r="C72" s="3"/>
      <c r="E72" s="3"/>
      <c r="F72" s="3"/>
    </row>
    <row r="73">
      <c r="A73" s="3"/>
      <c r="B73" s="3"/>
      <c r="C73" s="3"/>
      <c r="E73" s="3"/>
      <c r="F73" s="3"/>
    </row>
    <row r="74">
      <c r="A74" s="3"/>
      <c r="B74" s="3"/>
      <c r="C74" s="3"/>
      <c r="E74" s="3"/>
      <c r="F74" s="3"/>
    </row>
    <row r="75">
      <c r="A75" s="3"/>
      <c r="B75" s="3"/>
      <c r="C75" s="3"/>
      <c r="E75" s="3"/>
      <c r="F75" s="3"/>
    </row>
    <row r="76">
      <c r="A76" s="3"/>
      <c r="B76" s="3"/>
      <c r="C76" s="3"/>
      <c r="E76" s="3"/>
      <c r="F76" s="3"/>
    </row>
    <row r="77">
      <c r="A77" s="3"/>
      <c r="B77" s="3"/>
      <c r="C77" s="3"/>
      <c r="E77" s="3"/>
      <c r="F77" s="3"/>
    </row>
    <row r="78">
      <c r="A78" s="3"/>
      <c r="B78" s="3"/>
      <c r="C78" s="3"/>
      <c r="E78" s="3"/>
      <c r="F78" s="3"/>
    </row>
    <row r="79">
      <c r="A79" s="3"/>
      <c r="B79" s="3"/>
      <c r="C79" s="3"/>
      <c r="E79" s="3"/>
      <c r="F79" s="3"/>
    </row>
    <row r="80">
      <c r="A80" s="3"/>
      <c r="B80" s="3"/>
      <c r="C80" s="3"/>
      <c r="E80" s="3"/>
      <c r="F80" s="3"/>
    </row>
    <row r="81">
      <c r="A81" s="3"/>
      <c r="B81" s="3"/>
      <c r="C81" s="3"/>
      <c r="E81" s="3"/>
      <c r="F81" s="3"/>
    </row>
    <row r="82">
      <c r="A82" s="3"/>
      <c r="B82" s="3"/>
      <c r="C82" s="3"/>
      <c r="E82" s="3"/>
      <c r="F82" s="3"/>
    </row>
    <row r="83">
      <c r="A83" s="3"/>
      <c r="B83" s="3"/>
      <c r="C83" s="3"/>
      <c r="E83" s="3"/>
      <c r="F83" s="3"/>
    </row>
    <row r="84">
      <c r="A84" s="3"/>
      <c r="B84" s="3"/>
      <c r="C84" s="3"/>
      <c r="E84" s="3"/>
      <c r="F84" s="3"/>
    </row>
    <row r="85">
      <c r="A85" s="3"/>
      <c r="B85" s="3"/>
      <c r="C85" s="3"/>
      <c r="E85" s="3"/>
      <c r="F85" s="3"/>
    </row>
    <row r="86">
      <c r="A86" s="3"/>
      <c r="B86" s="3"/>
      <c r="C86" s="3"/>
      <c r="E86" s="3"/>
      <c r="F86" s="3"/>
    </row>
    <row r="87">
      <c r="A87" s="3"/>
      <c r="B87" s="3"/>
      <c r="C87" s="3"/>
      <c r="E87" s="3"/>
      <c r="F87" s="3"/>
    </row>
    <row r="88">
      <c r="A88" s="3"/>
      <c r="B88" s="3"/>
      <c r="C88" s="3"/>
      <c r="E88" s="3"/>
      <c r="F88" s="3"/>
    </row>
    <row r="89">
      <c r="A89" s="3"/>
      <c r="B89" s="3"/>
      <c r="C89" s="3"/>
      <c r="E89" s="3"/>
      <c r="F89" s="3"/>
    </row>
    <row r="90">
      <c r="A90" s="3"/>
      <c r="B90" s="3"/>
      <c r="C90" s="3"/>
      <c r="E90" s="3"/>
      <c r="F90" s="3"/>
    </row>
    <row r="91">
      <c r="A91" s="3"/>
      <c r="B91" s="3"/>
      <c r="C91" s="3"/>
      <c r="E91" s="3"/>
      <c r="F91" s="3"/>
    </row>
    <row r="92">
      <c r="A92" s="3"/>
      <c r="B92" s="3"/>
      <c r="C92" s="3"/>
      <c r="E92" s="3"/>
      <c r="F92" s="3"/>
    </row>
    <row r="93">
      <c r="A93" s="3"/>
      <c r="B93" s="3"/>
      <c r="C93" s="3"/>
      <c r="E93" s="3"/>
      <c r="F93" s="3"/>
    </row>
    <row r="94">
      <c r="A94" s="3"/>
      <c r="B94" s="3"/>
      <c r="C94" s="3"/>
      <c r="E94" s="3"/>
      <c r="F94" s="3"/>
    </row>
    <row r="95">
      <c r="A95" s="3"/>
      <c r="B95" s="3"/>
      <c r="C95" s="3"/>
      <c r="E95" s="3"/>
      <c r="F95" s="3"/>
    </row>
    <row r="96">
      <c r="A96" s="3"/>
      <c r="B96" s="3"/>
      <c r="C96" s="3"/>
      <c r="E96" s="3"/>
      <c r="F96" s="3"/>
    </row>
    <row r="97">
      <c r="A97" s="3"/>
      <c r="B97" s="3"/>
      <c r="C97" s="3"/>
      <c r="E97" s="3"/>
      <c r="F97" s="3"/>
    </row>
    <row r="98">
      <c r="A98" s="3"/>
      <c r="B98" s="3"/>
      <c r="C98" s="3"/>
      <c r="E98" s="3"/>
      <c r="F98" s="3"/>
    </row>
    <row r="99">
      <c r="A99" s="3"/>
      <c r="B99" s="3"/>
      <c r="C99" s="3"/>
      <c r="E99" s="3"/>
      <c r="F99" s="3"/>
    </row>
    <row r="100">
      <c r="A100" s="3"/>
      <c r="B100" s="3"/>
      <c r="C100" s="3"/>
      <c r="E100" s="3"/>
      <c r="F100" s="3"/>
    </row>
    <row r="101">
      <c r="A101" s="3"/>
      <c r="B101" s="3"/>
      <c r="C101" s="3"/>
      <c r="E101" s="3"/>
      <c r="F101" s="3"/>
    </row>
    <row r="102">
      <c r="A102" s="3"/>
      <c r="B102" s="3"/>
      <c r="C102" s="3"/>
      <c r="E102" s="3"/>
      <c r="F102" s="3"/>
    </row>
    <row r="103">
      <c r="A103" s="3"/>
      <c r="B103" s="3"/>
      <c r="C103" s="3"/>
      <c r="E103" s="3"/>
      <c r="F103" s="3"/>
    </row>
    <row r="104">
      <c r="A104" s="3"/>
      <c r="B104" s="3"/>
      <c r="C104" s="3"/>
      <c r="E104" s="3"/>
      <c r="F104" s="3"/>
    </row>
    <row r="105">
      <c r="A105" s="3"/>
      <c r="B105" s="3"/>
      <c r="C105" s="3"/>
      <c r="E105" s="3"/>
      <c r="F105" s="3"/>
    </row>
    <row r="106">
      <c r="A106" s="3"/>
      <c r="B106" s="3"/>
      <c r="C106" s="3"/>
      <c r="E106" s="3"/>
      <c r="F106" s="3"/>
    </row>
    <row r="107">
      <c r="A107" s="3"/>
      <c r="B107" s="3"/>
      <c r="C107" s="3"/>
      <c r="E107" s="3"/>
      <c r="F107" s="3"/>
    </row>
    <row r="108">
      <c r="A108" s="3"/>
      <c r="B108" s="3"/>
      <c r="C108" s="3"/>
      <c r="E108" s="3"/>
      <c r="F108" s="3"/>
    </row>
    <row r="109">
      <c r="A109" s="3"/>
      <c r="B109" s="3"/>
      <c r="C109" s="3"/>
      <c r="E109" s="3"/>
      <c r="F109" s="3"/>
    </row>
    <row r="110">
      <c r="A110" s="3"/>
      <c r="B110" s="3"/>
      <c r="C110" s="3"/>
      <c r="E110" s="3"/>
      <c r="F110" s="3"/>
    </row>
    <row r="111">
      <c r="A111" s="3"/>
      <c r="B111" s="3"/>
      <c r="C111" s="3"/>
      <c r="E111" s="3"/>
      <c r="F111" s="3"/>
    </row>
    <row r="112">
      <c r="A112" s="3"/>
      <c r="B112" s="3"/>
      <c r="C112" s="3"/>
      <c r="E112" s="3"/>
      <c r="F112" s="3"/>
    </row>
    <row r="113">
      <c r="A113" s="3"/>
      <c r="B113" s="3"/>
      <c r="C113" s="3"/>
      <c r="E113" s="3"/>
      <c r="F113" s="3"/>
    </row>
    <row r="114">
      <c r="A114" s="3"/>
      <c r="B114" s="3"/>
      <c r="C114" s="3"/>
      <c r="E114" s="3"/>
      <c r="F114" s="3"/>
    </row>
    <row r="115">
      <c r="A115" s="3"/>
      <c r="B115" s="3"/>
      <c r="C115" s="3"/>
      <c r="E115" s="3"/>
      <c r="F115" s="3"/>
    </row>
    <row r="116">
      <c r="A116" s="3"/>
      <c r="B116" s="3"/>
      <c r="C116" s="3"/>
      <c r="E116" s="3"/>
      <c r="F116" s="3"/>
    </row>
    <row r="117">
      <c r="A117" s="3"/>
      <c r="B117" s="3"/>
      <c r="C117" s="3"/>
      <c r="E117" s="3"/>
      <c r="F117" s="3"/>
    </row>
    <row r="118">
      <c r="A118" s="3"/>
      <c r="B118" s="3"/>
      <c r="C118" s="3"/>
      <c r="E118" s="3"/>
      <c r="F118" s="3"/>
    </row>
    <row r="119">
      <c r="A119" s="3"/>
      <c r="B119" s="3"/>
      <c r="C119" s="3"/>
      <c r="E119" s="3"/>
      <c r="F119" s="3"/>
    </row>
    <row r="120">
      <c r="A120" s="3"/>
      <c r="B120" s="3"/>
      <c r="C120" s="3"/>
      <c r="E120" s="3"/>
      <c r="F120" s="3"/>
    </row>
    <row r="121">
      <c r="A121" s="3"/>
      <c r="B121" s="3"/>
      <c r="C121" s="3"/>
      <c r="E121" s="3"/>
      <c r="F121" s="3"/>
    </row>
    <row r="122">
      <c r="A122" s="3"/>
      <c r="B122" s="3"/>
      <c r="C122" s="3"/>
      <c r="E122" s="3"/>
      <c r="F122" s="3"/>
    </row>
    <row r="123">
      <c r="A123" s="3"/>
      <c r="B123" s="3"/>
      <c r="C123" s="3"/>
      <c r="E123" s="3"/>
      <c r="F123" s="3"/>
    </row>
    <row r="124">
      <c r="A124" s="3"/>
      <c r="B124" s="3"/>
      <c r="C124" s="3"/>
      <c r="E124" s="3"/>
      <c r="F124" s="3"/>
    </row>
    <row r="125">
      <c r="A125" s="3"/>
      <c r="B125" s="3"/>
      <c r="C125" s="3"/>
      <c r="E125" s="3"/>
      <c r="F125" s="3"/>
    </row>
    <row r="126">
      <c r="A126" s="3"/>
      <c r="B126" s="3"/>
      <c r="C126" s="3"/>
      <c r="E126" s="3"/>
      <c r="F126" s="3"/>
    </row>
    <row r="127">
      <c r="A127" s="3"/>
      <c r="B127" s="3"/>
      <c r="C127" s="3"/>
      <c r="E127" s="3"/>
      <c r="F127" s="3"/>
    </row>
    <row r="128">
      <c r="A128" s="3"/>
      <c r="B128" s="3"/>
      <c r="C128" s="3"/>
      <c r="E128" s="3"/>
      <c r="F128" s="3"/>
    </row>
    <row r="129">
      <c r="A129" s="3"/>
      <c r="B129" s="3"/>
      <c r="C129" s="3"/>
      <c r="E129" s="3"/>
      <c r="F129" s="3"/>
    </row>
    <row r="130">
      <c r="A130" s="3"/>
      <c r="B130" s="3"/>
      <c r="C130" s="3"/>
      <c r="E130" s="3"/>
      <c r="F130" s="3"/>
    </row>
    <row r="131">
      <c r="A131" s="3"/>
      <c r="B131" s="3"/>
      <c r="C131" s="3"/>
      <c r="E131" s="3"/>
      <c r="F131" s="3"/>
    </row>
    <row r="132">
      <c r="A132" s="3"/>
      <c r="B132" s="3"/>
      <c r="C132" s="3"/>
      <c r="E132" s="3"/>
      <c r="F132" s="3"/>
    </row>
    <row r="133">
      <c r="A133" s="3"/>
      <c r="B133" s="3"/>
      <c r="C133" s="3"/>
      <c r="E133" s="3"/>
      <c r="F133" s="3"/>
    </row>
    <row r="134">
      <c r="A134" s="3"/>
      <c r="B134" s="3"/>
      <c r="C134" s="3"/>
      <c r="E134" s="3"/>
      <c r="F134" s="3"/>
    </row>
    <row r="135">
      <c r="A135" s="3"/>
      <c r="B135" s="3"/>
      <c r="C135" s="3"/>
      <c r="E135" s="3"/>
      <c r="F135" s="3"/>
    </row>
    <row r="136">
      <c r="A136" s="3"/>
      <c r="B136" s="3"/>
      <c r="C136" s="3"/>
      <c r="E136" s="3"/>
      <c r="F136" s="3"/>
    </row>
    <row r="137">
      <c r="A137" s="3"/>
      <c r="B137" s="3"/>
      <c r="C137" s="3"/>
      <c r="E137" s="3"/>
      <c r="F137" s="3"/>
    </row>
    <row r="138">
      <c r="A138" s="3"/>
      <c r="B138" s="3"/>
      <c r="C138" s="3"/>
      <c r="E138" s="3"/>
      <c r="F138" s="3"/>
    </row>
    <row r="139">
      <c r="A139" s="3"/>
      <c r="B139" s="3"/>
      <c r="C139" s="3"/>
      <c r="E139" s="3"/>
      <c r="F139" s="3"/>
    </row>
    <row r="140">
      <c r="A140" s="3"/>
      <c r="B140" s="3"/>
      <c r="C140" s="3"/>
      <c r="E140" s="3"/>
      <c r="F140" s="3"/>
    </row>
    <row r="141">
      <c r="A141" s="3"/>
      <c r="B141" s="3"/>
      <c r="C141" s="3"/>
      <c r="E141" s="3"/>
      <c r="F141" s="3"/>
    </row>
    <row r="142">
      <c r="A142" s="3"/>
      <c r="B142" s="3"/>
      <c r="C142" s="3"/>
      <c r="E142" s="3"/>
      <c r="F142" s="3"/>
    </row>
    <row r="143">
      <c r="A143" s="3"/>
      <c r="B143" s="3"/>
      <c r="C143" s="3"/>
      <c r="E143" s="3"/>
      <c r="F143" s="3"/>
    </row>
    <row r="144">
      <c r="A144" s="3"/>
      <c r="B144" s="3"/>
      <c r="C144" s="3"/>
      <c r="E144" s="3"/>
      <c r="F144" s="3"/>
    </row>
    <row r="145">
      <c r="A145" s="3"/>
      <c r="B145" s="3"/>
      <c r="C145" s="3"/>
      <c r="E145" s="3"/>
      <c r="F145" s="3"/>
    </row>
    <row r="146">
      <c r="A146" s="3"/>
      <c r="B146" s="3"/>
      <c r="C146" s="3"/>
      <c r="E146" s="3"/>
      <c r="F146" s="3"/>
    </row>
    <row r="147">
      <c r="A147" s="3"/>
      <c r="B147" s="3"/>
      <c r="C147" s="3"/>
      <c r="E147" s="3"/>
      <c r="F147" s="3"/>
    </row>
    <row r="148">
      <c r="A148" s="3"/>
      <c r="B148" s="3"/>
      <c r="C148" s="3"/>
      <c r="E148" s="3"/>
      <c r="F148" s="3"/>
    </row>
    <row r="149">
      <c r="A149" s="3"/>
      <c r="B149" s="3"/>
      <c r="C149" s="3"/>
      <c r="E149" s="3"/>
      <c r="F149" s="3"/>
    </row>
    <row r="150">
      <c r="A150" s="3"/>
      <c r="B150" s="3"/>
      <c r="C150" s="3"/>
      <c r="E150" s="3"/>
      <c r="F150" s="3"/>
    </row>
    <row r="151">
      <c r="A151" s="3"/>
      <c r="B151" s="3"/>
      <c r="C151" s="3"/>
      <c r="E151" s="3"/>
      <c r="F151" s="3"/>
    </row>
    <row r="152">
      <c r="A152" s="3"/>
      <c r="B152" s="3"/>
      <c r="C152" s="3"/>
      <c r="E152" s="3"/>
      <c r="F152" s="3"/>
    </row>
    <row r="153">
      <c r="A153" s="3"/>
      <c r="B153" s="3"/>
      <c r="C153" s="3"/>
      <c r="E153" s="3"/>
      <c r="F153" s="3"/>
    </row>
    <row r="154">
      <c r="A154" s="3"/>
      <c r="B154" s="3"/>
      <c r="C154" s="3"/>
      <c r="E154" s="3"/>
      <c r="F154" s="3"/>
    </row>
    <row r="155">
      <c r="A155" s="3"/>
      <c r="B155" s="3"/>
      <c r="C155" s="3"/>
      <c r="E155" s="3"/>
      <c r="F155" s="3"/>
    </row>
    <row r="156">
      <c r="A156" s="3"/>
      <c r="B156" s="3"/>
      <c r="C156" s="3"/>
      <c r="E156" s="3"/>
      <c r="F156" s="3"/>
    </row>
    <row r="157">
      <c r="A157" s="3"/>
      <c r="B157" s="3"/>
      <c r="C157" s="3"/>
      <c r="E157" s="3"/>
      <c r="F157" s="3"/>
    </row>
    <row r="158">
      <c r="A158" s="3"/>
      <c r="B158" s="3"/>
      <c r="C158" s="3"/>
      <c r="E158" s="3"/>
      <c r="F158" s="3"/>
    </row>
    <row r="159">
      <c r="A159" s="3"/>
      <c r="B159" s="3"/>
      <c r="C159" s="3"/>
      <c r="E159" s="3"/>
      <c r="F159" s="3"/>
    </row>
    <row r="160">
      <c r="A160" s="3"/>
      <c r="B160" s="3"/>
      <c r="C160" s="3"/>
      <c r="E160" s="3"/>
      <c r="F160" s="3"/>
    </row>
    <row r="161">
      <c r="A161" s="3"/>
      <c r="B161" s="3"/>
      <c r="C161" s="3"/>
      <c r="E161" s="3"/>
      <c r="F161" s="3"/>
    </row>
    <row r="162">
      <c r="A162" s="3"/>
      <c r="B162" s="3"/>
      <c r="C162" s="3"/>
      <c r="E162" s="3"/>
      <c r="F162" s="3"/>
    </row>
    <row r="163">
      <c r="A163" s="3"/>
      <c r="B163" s="3"/>
      <c r="C163" s="3"/>
      <c r="E163" s="3"/>
      <c r="F163" s="3"/>
    </row>
    <row r="164">
      <c r="A164" s="3"/>
      <c r="B164" s="3"/>
      <c r="C164" s="3"/>
      <c r="E164" s="3"/>
      <c r="F164" s="3"/>
    </row>
    <row r="165">
      <c r="A165" s="3"/>
      <c r="B165" s="3"/>
      <c r="C165" s="3"/>
      <c r="E165" s="3"/>
      <c r="F165" s="3"/>
    </row>
    <row r="166">
      <c r="A166" s="3"/>
      <c r="B166" s="3"/>
      <c r="C166" s="3"/>
      <c r="E166" s="3"/>
      <c r="F166" s="3"/>
    </row>
    <row r="167">
      <c r="A167" s="3"/>
      <c r="B167" s="3"/>
      <c r="C167" s="3"/>
      <c r="E167" s="3"/>
      <c r="F167" s="3"/>
    </row>
    <row r="168">
      <c r="A168" s="3"/>
      <c r="B168" s="3"/>
      <c r="C168" s="3"/>
      <c r="E168" s="3"/>
      <c r="F168" s="3"/>
    </row>
    <row r="169">
      <c r="A169" s="3"/>
      <c r="B169" s="3"/>
      <c r="C169" s="3"/>
      <c r="E169" s="3"/>
      <c r="F169" s="3"/>
    </row>
    <row r="170">
      <c r="A170" s="3"/>
      <c r="B170" s="3"/>
      <c r="C170" s="3"/>
      <c r="E170" s="3"/>
      <c r="F170" s="3"/>
    </row>
    <row r="171">
      <c r="A171" s="3"/>
      <c r="B171" s="3"/>
      <c r="C171" s="3"/>
      <c r="E171" s="3"/>
      <c r="F171" s="3"/>
    </row>
    <row r="172">
      <c r="A172" s="3"/>
      <c r="B172" s="3"/>
      <c r="C172" s="3"/>
      <c r="E172" s="3"/>
      <c r="F172" s="3"/>
    </row>
    <row r="173">
      <c r="A173" s="3"/>
      <c r="B173" s="3"/>
      <c r="C173" s="3"/>
      <c r="E173" s="3"/>
      <c r="F173" s="3"/>
    </row>
    <row r="174">
      <c r="A174" s="3"/>
      <c r="B174" s="3"/>
      <c r="C174" s="3"/>
      <c r="E174" s="3"/>
      <c r="F174" s="3"/>
    </row>
    <row r="175">
      <c r="A175" s="3"/>
      <c r="B175" s="3"/>
      <c r="C175" s="3"/>
      <c r="E175" s="3"/>
      <c r="F175" s="3"/>
    </row>
    <row r="176">
      <c r="A176" s="3"/>
      <c r="B176" s="3"/>
      <c r="C176" s="3"/>
      <c r="E176" s="3"/>
      <c r="F176" s="3"/>
    </row>
    <row r="177">
      <c r="A177" s="3"/>
      <c r="B177" s="3"/>
      <c r="C177" s="3"/>
      <c r="E177" s="3"/>
      <c r="F177" s="3"/>
    </row>
    <row r="178">
      <c r="A178" s="3"/>
      <c r="B178" s="3"/>
      <c r="C178" s="3"/>
      <c r="E178" s="3"/>
      <c r="F178" s="3"/>
    </row>
    <row r="179">
      <c r="A179" s="3"/>
      <c r="B179" s="3"/>
      <c r="C179" s="3"/>
      <c r="E179" s="3"/>
      <c r="F179" s="3"/>
    </row>
    <row r="180">
      <c r="A180" s="3"/>
      <c r="B180" s="3"/>
      <c r="C180" s="3"/>
      <c r="E180" s="3"/>
      <c r="F180" s="3"/>
    </row>
    <row r="181">
      <c r="A181" s="3"/>
      <c r="B181" s="3"/>
      <c r="C181" s="3"/>
      <c r="E181" s="3"/>
      <c r="F181" s="3"/>
    </row>
    <row r="182">
      <c r="A182" s="3"/>
      <c r="B182" s="3"/>
      <c r="C182" s="3"/>
      <c r="E182" s="3"/>
      <c r="F182" s="3"/>
    </row>
    <row r="183">
      <c r="A183" s="3"/>
      <c r="B183" s="3"/>
      <c r="C183" s="3"/>
      <c r="E183" s="3"/>
      <c r="F183" s="3"/>
    </row>
    <row r="184">
      <c r="A184" s="3"/>
      <c r="B184" s="3"/>
      <c r="C184" s="3"/>
      <c r="E184" s="3"/>
      <c r="F184" s="3"/>
    </row>
    <row r="185">
      <c r="A185" s="3"/>
      <c r="B185" s="3"/>
      <c r="C185" s="3"/>
      <c r="E185" s="3"/>
      <c r="F185" s="3"/>
    </row>
    <row r="186">
      <c r="A186" s="3"/>
      <c r="B186" s="3"/>
      <c r="C186" s="3"/>
      <c r="E186" s="3"/>
      <c r="F186" s="3"/>
    </row>
    <row r="187">
      <c r="A187" s="3"/>
      <c r="B187" s="3"/>
      <c r="C187" s="3"/>
      <c r="E187" s="3"/>
      <c r="F187" s="3"/>
    </row>
    <row r="188">
      <c r="A188" s="3"/>
      <c r="B188" s="3"/>
      <c r="C188" s="3"/>
      <c r="E188" s="3"/>
      <c r="F188" s="3"/>
    </row>
    <row r="189">
      <c r="A189" s="3"/>
      <c r="B189" s="3"/>
      <c r="C189" s="3"/>
      <c r="E189" s="3"/>
      <c r="F189" s="3"/>
    </row>
    <row r="190">
      <c r="A190" s="3"/>
      <c r="B190" s="3"/>
      <c r="C190" s="3"/>
      <c r="E190" s="3"/>
      <c r="F190" s="3"/>
    </row>
    <row r="191">
      <c r="A191" s="3"/>
      <c r="B191" s="3"/>
      <c r="C191" s="3"/>
      <c r="E191" s="3"/>
      <c r="F191" s="3"/>
    </row>
    <row r="192">
      <c r="A192" s="3"/>
      <c r="B192" s="3"/>
      <c r="C192" s="3"/>
      <c r="E192" s="3"/>
      <c r="F192" s="3"/>
    </row>
    <row r="193">
      <c r="A193" s="3"/>
      <c r="B193" s="3"/>
      <c r="C193" s="3"/>
      <c r="E193" s="3"/>
      <c r="F193" s="3"/>
    </row>
    <row r="194">
      <c r="A194" s="3"/>
      <c r="B194" s="3"/>
      <c r="C194" s="3"/>
      <c r="E194" s="3"/>
      <c r="F194" s="3"/>
    </row>
    <row r="195">
      <c r="A195" s="3"/>
      <c r="B195" s="3"/>
      <c r="C195" s="3"/>
      <c r="E195" s="3"/>
      <c r="F195" s="3"/>
    </row>
    <row r="196">
      <c r="A196" s="3"/>
      <c r="B196" s="3"/>
      <c r="C196" s="3"/>
      <c r="E196" s="3"/>
      <c r="F196" s="3"/>
    </row>
    <row r="197">
      <c r="A197" s="3"/>
      <c r="B197" s="3"/>
      <c r="C197" s="3"/>
      <c r="E197" s="3"/>
      <c r="F197" s="3"/>
    </row>
    <row r="198">
      <c r="A198" s="3"/>
      <c r="B198" s="3"/>
      <c r="C198" s="3"/>
      <c r="E198" s="3"/>
      <c r="F198" s="3"/>
    </row>
    <row r="199">
      <c r="A199" s="3"/>
      <c r="B199" s="3"/>
      <c r="C199" s="3"/>
      <c r="E199" s="3"/>
      <c r="F199" s="3"/>
    </row>
    <row r="200">
      <c r="A200" s="3"/>
      <c r="B200" s="3"/>
      <c r="C200" s="3"/>
      <c r="E200" s="3"/>
      <c r="F200" s="3"/>
    </row>
    <row r="201">
      <c r="A201" s="3"/>
      <c r="B201" s="3"/>
      <c r="C201" s="3"/>
      <c r="E201" s="3"/>
      <c r="F201" s="3"/>
    </row>
    <row r="202">
      <c r="A202" s="3"/>
      <c r="B202" s="3"/>
      <c r="C202" s="3"/>
      <c r="E202" s="3"/>
      <c r="F202" s="3"/>
    </row>
    <row r="203">
      <c r="A203" s="3"/>
      <c r="B203" s="3"/>
      <c r="C203" s="3"/>
      <c r="E203" s="3"/>
      <c r="F203" s="3"/>
    </row>
    <row r="204">
      <c r="A204" s="3"/>
      <c r="B204" s="3"/>
      <c r="C204" s="3"/>
      <c r="E204" s="3"/>
      <c r="F204" s="3"/>
    </row>
    <row r="205">
      <c r="A205" s="3"/>
      <c r="B205" s="3"/>
      <c r="C205" s="3"/>
      <c r="E205" s="3"/>
      <c r="F205" s="3"/>
    </row>
    <row r="206">
      <c r="A206" s="3"/>
      <c r="B206" s="3"/>
      <c r="C206" s="3"/>
      <c r="E206" s="3"/>
      <c r="F206" s="3"/>
    </row>
    <row r="207">
      <c r="A207" s="3"/>
      <c r="B207" s="3"/>
      <c r="C207" s="3"/>
      <c r="E207" s="3"/>
      <c r="F207" s="3"/>
    </row>
    <row r="208">
      <c r="A208" s="3"/>
      <c r="B208" s="3"/>
      <c r="C208" s="3"/>
      <c r="E208" s="3"/>
      <c r="F208" s="3"/>
    </row>
    <row r="209">
      <c r="A209" s="3"/>
      <c r="B209" s="3"/>
      <c r="C209" s="3"/>
      <c r="E209" s="3"/>
      <c r="F209" s="3"/>
    </row>
    <row r="210">
      <c r="A210" s="3"/>
      <c r="B210" s="3"/>
      <c r="C210" s="3"/>
      <c r="E210" s="3"/>
      <c r="F210" s="3"/>
    </row>
    <row r="211">
      <c r="A211" s="3"/>
      <c r="B211" s="3"/>
      <c r="C211" s="3"/>
      <c r="E211" s="3"/>
      <c r="F211" s="3"/>
    </row>
    <row r="212">
      <c r="A212" s="3"/>
      <c r="B212" s="3"/>
      <c r="C212" s="3"/>
      <c r="E212" s="3"/>
      <c r="F212" s="3"/>
    </row>
    <row r="213">
      <c r="A213" s="3"/>
      <c r="B213" s="3"/>
      <c r="C213" s="3"/>
      <c r="E213" s="3"/>
      <c r="F213" s="3"/>
    </row>
    <row r="214">
      <c r="A214" s="3"/>
      <c r="B214" s="3"/>
      <c r="C214" s="3"/>
      <c r="E214" s="3"/>
      <c r="F214" s="3"/>
    </row>
    <row r="215">
      <c r="A215" s="3"/>
      <c r="B215" s="3"/>
      <c r="C215" s="3"/>
      <c r="E215" s="3"/>
      <c r="F215" s="3"/>
    </row>
    <row r="216">
      <c r="A216" s="3"/>
      <c r="B216" s="3"/>
      <c r="C216" s="3"/>
      <c r="E216" s="3"/>
      <c r="F216" s="3"/>
    </row>
    <row r="217">
      <c r="A217" s="3"/>
      <c r="B217" s="3"/>
      <c r="C217" s="3"/>
      <c r="E217" s="3"/>
      <c r="F217" s="3"/>
    </row>
    <row r="218">
      <c r="A218" s="3"/>
      <c r="B218" s="3"/>
      <c r="C218" s="3"/>
      <c r="E218" s="3"/>
      <c r="F218" s="3"/>
    </row>
    <row r="219">
      <c r="A219" s="3"/>
      <c r="B219" s="3"/>
      <c r="C219" s="3"/>
      <c r="E219" s="3"/>
      <c r="F219" s="3"/>
    </row>
    <row r="220">
      <c r="A220" s="3"/>
      <c r="B220" s="3"/>
      <c r="C220" s="3"/>
      <c r="E220" s="3"/>
      <c r="F220" s="3"/>
    </row>
    <row r="221">
      <c r="A221" s="3"/>
      <c r="B221" s="3"/>
      <c r="C221" s="3"/>
      <c r="E221" s="3"/>
      <c r="F221" s="3"/>
    </row>
    <row r="222">
      <c r="A222" s="3"/>
      <c r="B222" s="3"/>
      <c r="C222" s="3"/>
      <c r="E222" s="3"/>
      <c r="F222" s="3"/>
    </row>
    <row r="223">
      <c r="A223" s="3"/>
      <c r="B223" s="3"/>
      <c r="C223" s="3"/>
      <c r="E223" s="3"/>
      <c r="F223" s="3"/>
    </row>
    <row r="224">
      <c r="A224" s="3"/>
      <c r="B224" s="3"/>
      <c r="C224" s="3"/>
      <c r="E224" s="3"/>
      <c r="F224" s="3"/>
    </row>
    <row r="225">
      <c r="A225" s="3"/>
      <c r="B225" s="3"/>
      <c r="C225" s="3"/>
      <c r="E225" s="3"/>
      <c r="F225" s="3"/>
    </row>
    <row r="226">
      <c r="A226" s="3"/>
      <c r="B226" s="3"/>
      <c r="C226" s="3"/>
      <c r="E226" s="3"/>
      <c r="F226" s="3"/>
    </row>
    <row r="227">
      <c r="A227" s="3"/>
      <c r="B227" s="3"/>
      <c r="C227" s="3"/>
      <c r="E227" s="3"/>
      <c r="F227" s="3"/>
    </row>
    <row r="228">
      <c r="A228" s="3"/>
      <c r="B228" s="3"/>
      <c r="C228" s="3"/>
      <c r="E228" s="3"/>
      <c r="F228" s="3"/>
    </row>
    <row r="229">
      <c r="A229" s="3"/>
      <c r="B229" s="3"/>
      <c r="C229" s="3"/>
      <c r="E229" s="3"/>
      <c r="F229" s="3"/>
    </row>
    <row r="230">
      <c r="A230" s="3"/>
      <c r="B230" s="3"/>
      <c r="C230" s="3"/>
      <c r="E230" s="3"/>
      <c r="F230" s="3"/>
    </row>
    <row r="231">
      <c r="A231" s="3"/>
      <c r="B231" s="3"/>
      <c r="C231" s="3"/>
      <c r="E231" s="3"/>
      <c r="F231" s="3"/>
    </row>
    <row r="232">
      <c r="A232" s="3"/>
      <c r="B232" s="3"/>
      <c r="C232" s="3"/>
      <c r="E232" s="3"/>
      <c r="F232" s="3"/>
    </row>
    <row r="233">
      <c r="A233" s="3"/>
      <c r="B233" s="3"/>
      <c r="C233" s="3"/>
      <c r="E233" s="3"/>
      <c r="F233" s="3"/>
    </row>
    <row r="234">
      <c r="A234" s="3"/>
      <c r="B234" s="3"/>
      <c r="C234" s="3"/>
      <c r="E234" s="3"/>
      <c r="F234" s="3"/>
    </row>
    <row r="235">
      <c r="A235" s="3"/>
      <c r="B235" s="3"/>
      <c r="C235" s="3"/>
      <c r="E235" s="3"/>
      <c r="F235" s="3"/>
    </row>
    <row r="236">
      <c r="A236" s="3"/>
      <c r="B236" s="3"/>
      <c r="C236" s="3"/>
      <c r="E236" s="3"/>
      <c r="F236" s="3"/>
    </row>
    <row r="237">
      <c r="A237" s="3"/>
      <c r="B237" s="3"/>
      <c r="C237" s="3"/>
      <c r="E237" s="3"/>
      <c r="F237" s="3"/>
    </row>
    <row r="238">
      <c r="A238" s="3"/>
      <c r="B238" s="3"/>
      <c r="C238" s="3"/>
      <c r="E238" s="3"/>
      <c r="F238" s="3"/>
    </row>
    <row r="239">
      <c r="A239" s="3"/>
      <c r="B239" s="3"/>
      <c r="C239" s="3"/>
      <c r="E239" s="3"/>
      <c r="F239" s="3"/>
    </row>
    <row r="240">
      <c r="A240" s="3"/>
      <c r="B240" s="3"/>
      <c r="C240" s="3"/>
      <c r="E240" s="3"/>
      <c r="F240" s="3"/>
    </row>
    <row r="241">
      <c r="A241" s="3"/>
      <c r="B241" s="3"/>
      <c r="C241" s="3"/>
      <c r="E241" s="3"/>
      <c r="F241" s="3"/>
    </row>
    <row r="242">
      <c r="A242" s="3"/>
      <c r="B242" s="3"/>
      <c r="C242" s="3"/>
      <c r="E242" s="3"/>
      <c r="F242" s="3"/>
    </row>
    <row r="243">
      <c r="A243" s="3"/>
      <c r="B243" s="3"/>
      <c r="C243" s="3"/>
      <c r="E243" s="3"/>
      <c r="F243" s="3"/>
    </row>
    <row r="244">
      <c r="A244" s="3"/>
      <c r="B244" s="3"/>
      <c r="C244" s="3"/>
      <c r="E244" s="3"/>
      <c r="F244" s="3"/>
    </row>
    <row r="245">
      <c r="A245" s="3"/>
      <c r="B245" s="3"/>
      <c r="C245" s="3"/>
      <c r="E245" s="3"/>
      <c r="F245" s="3"/>
    </row>
    <row r="246">
      <c r="A246" s="3"/>
      <c r="B246" s="3"/>
      <c r="C246" s="3"/>
      <c r="E246" s="3"/>
      <c r="F246" s="3"/>
    </row>
    <row r="247">
      <c r="A247" s="3"/>
      <c r="B247" s="3"/>
      <c r="C247" s="3"/>
      <c r="E247" s="3"/>
      <c r="F247" s="3"/>
    </row>
    <row r="248">
      <c r="A248" s="3"/>
      <c r="B248" s="3"/>
      <c r="C248" s="3"/>
      <c r="E248" s="3"/>
      <c r="F248" s="3"/>
    </row>
    <row r="249">
      <c r="A249" s="3"/>
      <c r="B249" s="3"/>
      <c r="C249" s="3"/>
      <c r="E249" s="3"/>
      <c r="F249" s="3"/>
    </row>
    <row r="250">
      <c r="A250" s="3"/>
      <c r="B250" s="3"/>
      <c r="C250" s="3"/>
      <c r="E250" s="3"/>
      <c r="F250" s="3"/>
    </row>
    <row r="251">
      <c r="A251" s="3"/>
      <c r="B251" s="3"/>
      <c r="C251" s="3"/>
      <c r="E251" s="3"/>
      <c r="F251" s="3"/>
    </row>
    <row r="252">
      <c r="A252" s="3"/>
      <c r="B252" s="3"/>
      <c r="C252" s="3"/>
      <c r="E252" s="3"/>
      <c r="F252" s="3"/>
    </row>
    <row r="253">
      <c r="A253" s="3"/>
      <c r="B253" s="3"/>
      <c r="C253" s="3"/>
      <c r="E253" s="3"/>
      <c r="F253" s="3"/>
    </row>
    <row r="254">
      <c r="A254" s="3"/>
      <c r="B254" s="3"/>
      <c r="C254" s="3"/>
      <c r="E254" s="3"/>
      <c r="F254" s="3"/>
    </row>
    <row r="255">
      <c r="A255" s="3"/>
      <c r="B255" s="3"/>
      <c r="C255" s="3"/>
      <c r="E255" s="3"/>
      <c r="F255" s="3"/>
    </row>
    <row r="256">
      <c r="A256" s="3"/>
      <c r="B256" s="3"/>
      <c r="C256" s="3"/>
      <c r="E256" s="3"/>
      <c r="F256" s="3"/>
    </row>
    <row r="257">
      <c r="A257" s="3"/>
      <c r="B257" s="3"/>
      <c r="C257" s="3"/>
      <c r="E257" s="3"/>
      <c r="F257" s="3"/>
    </row>
    <row r="258">
      <c r="A258" s="3"/>
      <c r="B258" s="3"/>
      <c r="C258" s="3"/>
      <c r="E258" s="3"/>
      <c r="F258" s="3"/>
    </row>
    <row r="259">
      <c r="A259" s="3"/>
      <c r="B259" s="3"/>
      <c r="C259" s="3"/>
      <c r="E259" s="3"/>
      <c r="F259" s="3"/>
    </row>
    <row r="260">
      <c r="A260" s="3"/>
      <c r="B260" s="3"/>
      <c r="C260" s="3"/>
      <c r="E260" s="3"/>
      <c r="F260" s="3"/>
    </row>
    <row r="261">
      <c r="A261" s="3"/>
      <c r="B261" s="3"/>
      <c r="C261" s="3"/>
      <c r="E261" s="3"/>
      <c r="F261" s="3"/>
    </row>
    <row r="262">
      <c r="A262" s="3"/>
      <c r="B262" s="3"/>
      <c r="C262" s="3"/>
      <c r="E262" s="3"/>
      <c r="F262" s="3"/>
    </row>
    <row r="263">
      <c r="A263" s="3"/>
      <c r="B263" s="3"/>
      <c r="C263" s="3"/>
      <c r="E263" s="3"/>
      <c r="F263" s="3"/>
    </row>
    <row r="264">
      <c r="A264" s="3"/>
      <c r="B264" s="3"/>
      <c r="C264" s="3"/>
      <c r="E264" s="3"/>
      <c r="F264" s="3"/>
    </row>
    <row r="265">
      <c r="A265" s="3"/>
      <c r="B265" s="3"/>
      <c r="C265" s="3"/>
      <c r="E265" s="3"/>
      <c r="F265" s="3"/>
    </row>
    <row r="266">
      <c r="A266" s="3"/>
      <c r="B266" s="3"/>
      <c r="C266" s="3"/>
      <c r="E266" s="3"/>
      <c r="F266" s="3"/>
    </row>
    <row r="267">
      <c r="A267" s="3"/>
      <c r="B267" s="3"/>
      <c r="C267" s="3"/>
      <c r="E267" s="3"/>
      <c r="F267" s="3"/>
    </row>
    <row r="268">
      <c r="A268" s="3"/>
      <c r="B268" s="3"/>
      <c r="C268" s="3"/>
      <c r="E268" s="3"/>
      <c r="F268" s="3"/>
    </row>
    <row r="269">
      <c r="A269" s="3"/>
      <c r="B269" s="3"/>
      <c r="C269" s="3"/>
      <c r="E269" s="3"/>
      <c r="F269" s="3"/>
    </row>
    <row r="270">
      <c r="A270" s="3"/>
      <c r="B270" s="3"/>
      <c r="C270" s="3"/>
      <c r="E270" s="3"/>
      <c r="F270" s="3"/>
    </row>
    <row r="271">
      <c r="A271" s="3"/>
      <c r="B271" s="3"/>
      <c r="C271" s="3"/>
      <c r="E271" s="3"/>
      <c r="F271" s="3"/>
    </row>
    <row r="272">
      <c r="A272" s="3"/>
      <c r="B272" s="3"/>
      <c r="C272" s="3"/>
      <c r="E272" s="3"/>
      <c r="F272" s="3"/>
    </row>
    <row r="273">
      <c r="A273" s="3"/>
      <c r="B273" s="3"/>
      <c r="C273" s="3"/>
      <c r="E273" s="3"/>
      <c r="F273" s="3"/>
    </row>
    <row r="274">
      <c r="A274" s="3"/>
      <c r="B274" s="3"/>
      <c r="C274" s="3"/>
      <c r="E274" s="3"/>
      <c r="F274" s="3"/>
    </row>
    <row r="275">
      <c r="A275" s="3"/>
      <c r="B275" s="3"/>
      <c r="C275" s="3"/>
      <c r="E275" s="3"/>
      <c r="F275" s="3"/>
    </row>
    <row r="276">
      <c r="A276" s="3"/>
      <c r="B276" s="3"/>
      <c r="C276" s="3"/>
      <c r="E276" s="3"/>
      <c r="F276" s="3"/>
    </row>
    <row r="277">
      <c r="A277" s="3"/>
      <c r="B277" s="3"/>
      <c r="C277" s="3"/>
      <c r="E277" s="3"/>
      <c r="F277" s="3"/>
    </row>
    <row r="278">
      <c r="A278" s="3"/>
      <c r="B278" s="3"/>
      <c r="C278" s="3"/>
      <c r="E278" s="3"/>
      <c r="F278" s="3"/>
    </row>
    <row r="279">
      <c r="A279" s="3"/>
      <c r="B279" s="3"/>
      <c r="C279" s="3"/>
      <c r="E279" s="3"/>
      <c r="F279" s="3"/>
    </row>
    <row r="280">
      <c r="A280" s="3"/>
      <c r="B280" s="3"/>
      <c r="C280" s="3"/>
      <c r="E280" s="3"/>
      <c r="F280" s="3"/>
    </row>
    <row r="281">
      <c r="A281" s="3"/>
      <c r="B281" s="3"/>
      <c r="C281" s="3"/>
      <c r="E281" s="3"/>
      <c r="F281" s="3"/>
    </row>
    <row r="282">
      <c r="A282" s="3"/>
      <c r="B282" s="3"/>
      <c r="C282" s="3"/>
      <c r="E282" s="3"/>
      <c r="F282" s="3"/>
    </row>
    <row r="283">
      <c r="A283" s="3"/>
      <c r="B283" s="3"/>
      <c r="C283" s="3"/>
      <c r="E283" s="3"/>
      <c r="F283" s="3"/>
    </row>
    <row r="284">
      <c r="A284" s="3"/>
      <c r="B284" s="3"/>
      <c r="C284" s="3"/>
      <c r="E284" s="3"/>
      <c r="F284" s="3"/>
    </row>
    <row r="285">
      <c r="A285" s="3"/>
      <c r="B285" s="3"/>
      <c r="C285" s="3"/>
      <c r="E285" s="3"/>
      <c r="F285" s="3"/>
    </row>
    <row r="286">
      <c r="A286" s="3"/>
      <c r="B286" s="3"/>
      <c r="C286" s="3"/>
      <c r="E286" s="3"/>
      <c r="F286" s="3"/>
    </row>
    <row r="287">
      <c r="A287" s="3"/>
      <c r="B287" s="3"/>
      <c r="C287" s="3"/>
      <c r="E287" s="3"/>
      <c r="F287" s="3"/>
    </row>
    <row r="288">
      <c r="A288" s="3"/>
      <c r="B288" s="3"/>
      <c r="C288" s="3"/>
      <c r="E288" s="3"/>
      <c r="F288" s="3"/>
    </row>
    <row r="289">
      <c r="A289" s="3"/>
      <c r="B289" s="3"/>
      <c r="C289" s="3"/>
      <c r="E289" s="3"/>
      <c r="F289" s="3"/>
    </row>
    <row r="290">
      <c r="A290" s="3"/>
      <c r="B290" s="3"/>
      <c r="C290" s="3"/>
      <c r="E290" s="3"/>
      <c r="F290" s="3"/>
    </row>
    <row r="291">
      <c r="A291" s="3"/>
      <c r="B291" s="3"/>
      <c r="C291" s="3"/>
      <c r="E291" s="3"/>
      <c r="F291" s="3"/>
    </row>
    <row r="292">
      <c r="A292" s="3"/>
      <c r="B292" s="3"/>
      <c r="C292" s="3"/>
      <c r="E292" s="3"/>
      <c r="F292" s="3"/>
    </row>
    <row r="293">
      <c r="A293" s="3"/>
      <c r="B293" s="3"/>
      <c r="C293" s="3"/>
      <c r="E293" s="3"/>
      <c r="F293" s="3"/>
    </row>
    <row r="294">
      <c r="A294" s="3"/>
      <c r="B294" s="3"/>
      <c r="C294" s="3"/>
      <c r="E294" s="3"/>
      <c r="F294" s="3"/>
    </row>
    <row r="295">
      <c r="A295" s="3"/>
      <c r="B295" s="3"/>
      <c r="C295" s="3"/>
      <c r="E295" s="3"/>
      <c r="F295" s="3"/>
    </row>
    <row r="296">
      <c r="A296" s="3"/>
      <c r="B296" s="3"/>
      <c r="C296" s="3"/>
      <c r="E296" s="3"/>
      <c r="F296" s="3"/>
    </row>
    <row r="297">
      <c r="A297" s="3"/>
      <c r="B297" s="3"/>
      <c r="C297" s="3"/>
      <c r="E297" s="3"/>
      <c r="F297" s="3"/>
    </row>
    <row r="298">
      <c r="A298" s="3"/>
      <c r="B298" s="3"/>
      <c r="C298" s="3"/>
      <c r="E298" s="3"/>
      <c r="F298" s="3"/>
    </row>
    <row r="299">
      <c r="A299" s="3"/>
      <c r="B299" s="3"/>
      <c r="C299" s="3"/>
      <c r="E299" s="3"/>
      <c r="F299" s="3"/>
    </row>
    <row r="300">
      <c r="A300" s="3"/>
      <c r="B300" s="3"/>
      <c r="C300" s="3"/>
      <c r="E300" s="3"/>
      <c r="F300" s="3"/>
    </row>
    <row r="301">
      <c r="A301" s="3"/>
      <c r="B301" s="3"/>
      <c r="C301" s="3"/>
      <c r="E301" s="3"/>
      <c r="F301" s="3"/>
    </row>
    <row r="302">
      <c r="A302" s="3"/>
      <c r="B302" s="3"/>
      <c r="C302" s="3"/>
      <c r="E302" s="3"/>
      <c r="F302" s="3"/>
    </row>
    <row r="303">
      <c r="A303" s="3"/>
      <c r="B303" s="3"/>
      <c r="C303" s="3"/>
      <c r="E303" s="3"/>
      <c r="F303" s="3"/>
    </row>
    <row r="304">
      <c r="A304" s="3"/>
      <c r="B304" s="3"/>
      <c r="C304" s="3"/>
      <c r="E304" s="3"/>
      <c r="F304" s="3"/>
    </row>
    <row r="305">
      <c r="A305" s="3"/>
      <c r="B305" s="3"/>
      <c r="C305" s="3"/>
      <c r="E305" s="3"/>
      <c r="F305" s="3"/>
    </row>
    <row r="306">
      <c r="A306" s="3"/>
      <c r="B306" s="3"/>
      <c r="C306" s="3"/>
      <c r="E306" s="3"/>
      <c r="F306" s="3"/>
    </row>
    <row r="307">
      <c r="A307" s="3"/>
      <c r="B307" s="3"/>
      <c r="C307" s="3"/>
      <c r="E307" s="3"/>
      <c r="F307" s="3"/>
    </row>
    <row r="308">
      <c r="A308" s="3"/>
      <c r="B308" s="3"/>
      <c r="C308" s="3"/>
      <c r="E308" s="3"/>
      <c r="F308" s="3"/>
    </row>
    <row r="309">
      <c r="A309" s="3"/>
      <c r="B309" s="3"/>
      <c r="C309" s="3"/>
      <c r="E309" s="3"/>
      <c r="F309" s="3"/>
    </row>
    <row r="310">
      <c r="A310" s="3"/>
      <c r="B310" s="3"/>
      <c r="C310" s="3"/>
      <c r="E310" s="3"/>
      <c r="F310" s="3"/>
    </row>
    <row r="311">
      <c r="A311" s="3"/>
      <c r="B311" s="3"/>
      <c r="C311" s="3"/>
      <c r="E311" s="3"/>
      <c r="F311" s="3"/>
    </row>
    <row r="312">
      <c r="A312" s="3"/>
      <c r="B312" s="3"/>
      <c r="C312" s="3"/>
      <c r="E312" s="3"/>
      <c r="F312" s="3"/>
    </row>
    <row r="313">
      <c r="A313" s="3"/>
      <c r="B313" s="3"/>
      <c r="C313" s="3"/>
      <c r="E313" s="3"/>
      <c r="F313" s="3"/>
    </row>
    <row r="314">
      <c r="A314" s="3"/>
      <c r="B314" s="3"/>
      <c r="C314" s="3"/>
      <c r="E314" s="3"/>
      <c r="F314" s="3"/>
    </row>
    <row r="315">
      <c r="A315" s="3"/>
      <c r="B315" s="3"/>
      <c r="C315" s="3"/>
      <c r="E315" s="3"/>
      <c r="F315" s="3"/>
    </row>
    <row r="316">
      <c r="A316" s="3"/>
      <c r="B316" s="3"/>
      <c r="C316" s="3"/>
      <c r="E316" s="3"/>
      <c r="F316" s="3"/>
    </row>
    <row r="317">
      <c r="A317" s="3"/>
      <c r="B317" s="3"/>
      <c r="C317" s="3"/>
      <c r="E317" s="3"/>
      <c r="F317" s="3"/>
    </row>
    <row r="318">
      <c r="A318" s="3"/>
      <c r="B318" s="3"/>
      <c r="C318" s="3"/>
      <c r="E318" s="3"/>
      <c r="F318" s="3"/>
    </row>
    <row r="319">
      <c r="A319" s="3"/>
      <c r="B319" s="3"/>
      <c r="C319" s="3"/>
      <c r="E319" s="3"/>
      <c r="F319" s="3"/>
    </row>
    <row r="320">
      <c r="A320" s="3"/>
      <c r="B320" s="3"/>
      <c r="C320" s="3"/>
      <c r="E320" s="3"/>
      <c r="F320" s="3"/>
    </row>
    <row r="321">
      <c r="A321" s="3"/>
      <c r="B321" s="3"/>
      <c r="C321" s="3"/>
      <c r="E321" s="3"/>
      <c r="F321" s="3"/>
    </row>
    <row r="322">
      <c r="A322" s="3"/>
      <c r="B322" s="3"/>
      <c r="C322" s="3"/>
      <c r="E322" s="3"/>
      <c r="F322" s="3"/>
    </row>
    <row r="323">
      <c r="A323" s="3"/>
      <c r="B323" s="3"/>
      <c r="C323" s="3"/>
      <c r="E323" s="3"/>
      <c r="F323" s="3"/>
    </row>
    <row r="324">
      <c r="A324" s="3"/>
      <c r="B324" s="3"/>
      <c r="C324" s="3"/>
      <c r="E324" s="3"/>
      <c r="F324" s="3"/>
    </row>
    <row r="325">
      <c r="A325" s="3"/>
      <c r="B325" s="3"/>
      <c r="C325" s="3"/>
      <c r="E325" s="3"/>
      <c r="F325" s="3"/>
    </row>
    <row r="326">
      <c r="A326" s="3"/>
      <c r="B326" s="3"/>
      <c r="C326" s="3"/>
      <c r="E326" s="3"/>
      <c r="F326" s="3"/>
    </row>
    <row r="327">
      <c r="A327" s="3"/>
      <c r="B327" s="3"/>
      <c r="C327" s="3"/>
      <c r="E327" s="3"/>
      <c r="F327" s="3"/>
    </row>
    <row r="328">
      <c r="A328" s="3"/>
      <c r="B328" s="3"/>
      <c r="C328" s="3"/>
      <c r="E328" s="3"/>
      <c r="F328" s="3"/>
    </row>
    <row r="329">
      <c r="A329" s="3"/>
      <c r="B329" s="3"/>
      <c r="C329" s="3"/>
      <c r="E329" s="3"/>
      <c r="F329" s="3"/>
    </row>
    <row r="330">
      <c r="A330" s="3"/>
      <c r="B330" s="3"/>
      <c r="C330" s="3"/>
      <c r="E330" s="3"/>
      <c r="F330" s="3"/>
    </row>
    <row r="331">
      <c r="A331" s="3"/>
      <c r="B331" s="3"/>
      <c r="C331" s="3"/>
      <c r="E331" s="3"/>
      <c r="F331" s="3"/>
    </row>
    <row r="332">
      <c r="A332" s="3"/>
      <c r="B332" s="3"/>
      <c r="C332" s="3"/>
      <c r="E332" s="3"/>
      <c r="F332" s="3"/>
    </row>
    <row r="333">
      <c r="A333" s="3"/>
      <c r="B333" s="3"/>
      <c r="C333" s="3"/>
      <c r="E333" s="3"/>
      <c r="F333" s="3"/>
    </row>
    <row r="334">
      <c r="A334" s="3"/>
      <c r="B334" s="3"/>
      <c r="C334" s="3"/>
      <c r="E334" s="3"/>
      <c r="F334" s="3"/>
    </row>
    <row r="335">
      <c r="A335" s="3"/>
      <c r="B335" s="3"/>
      <c r="C335" s="3"/>
      <c r="E335" s="3"/>
      <c r="F335" s="3"/>
    </row>
    <row r="336">
      <c r="A336" s="3"/>
      <c r="B336" s="3"/>
      <c r="C336" s="3"/>
      <c r="E336" s="3"/>
      <c r="F336" s="3"/>
    </row>
    <row r="337">
      <c r="A337" s="3"/>
      <c r="B337" s="3"/>
      <c r="C337" s="3"/>
      <c r="E337" s="3"/>
      <c r="F337" s="3"/>
    </row>
    <row r="338">
      <c r="A338" s="3"/>
      <c r="B338" s="3"/>
      <c r="C338" s="3"/>
      <c r="E338" s="3"/>
      <c r="F338" s="3"/>
    </row>
    <row r="339">
      <c r="A339" s="3"/>
      <c r="B339" s="3"/>
      <c r="C339" s="3"/>
      <c r="E339" s="3"/>
      <c r="F339" s="3"/>
    </row>
    <row r="340">
      <c r="A340" s="3"/>
      <c r="B340" s="3"/>
      <c r="C340" s="3"/>
      <c r="E340" s="3"/>
      <c r="F340" s="3"/>
    </row>
    <row r="341">
      <c r="A341" s="3"/>
      <c r="B341" s="3"/>
      <c r="C341" s="3"/>
      <c r="E341" s="3"/>
      <c r="F341" s="3"/>
    </row>
    <row r="342">
      <c r="A342" s="3"/>
      <c r="B342" s="3"/>
      <c r="C342" s="3"/>
      <c r="E342" s="3"/>
      <c r="F342" s="3"/>
    </row>
    <row r="343">
      <c r="A343" s="3"/>
      <c r="B343" s="3"/>
      <c r="C343" s="3"/>
      <c r="E343" s="3"/>
      <c r="F343" s="3"/>
    </row>
    <row r="344">
      <c r="A344" s="3"/>
      <c r="B344" s="3"/>
      <c r="C344" s="3"/>
      <c r="E344" s="3"/>
      <c r="F344" s="3"/>
    </row>
    <row r="345">
      <c r="A345" s="3"/>
      <c r="B345" s="3"/>
      <c r="C345" s="3"/>
      <c r="E345" s="3"/>
      <c r="F345" s="3"/>
    </row>
    <row r="346">
      <c r="A346" s="3"/>
      <c r="B346" s="3"/>
      <c r="C346" s="3"/>
      <c r="E346" s="3"/>
      <c r="F346" s="3"/>
    </row>
    <row r="347">
      <c r="A347" s="3"/>
      <c r="B347" s="3"/>
      <c r="C347" s="3"/>
      <c r="E347" s="3"/>
      <c r="F347" s="3"/>
    </row>
    <row r="348">
      <c r="A348" s="3"/>
      <c r="B348" s="3"/>
      <c r="C348" s="3"/>
      <c r="E348" s="3"/>
      <c r="F348" s="3"/>
    </row>
    <row r="349">
      <c r="A349" s="3"/>
      <c r="B349" s="3"/>
      <c r="C349" s="3"/>
      <c r="E349" s="3"/>
      <c r="F349" s="3"/>
    </row>
    <row r="350">
      <c r="A350" s="3"/>
      <c r="B350" s="3"/>
      <c r="C350" s="3"/>
      <c r="E350" s="3"/>
      <c r="F350" s="3"/>
    </row>
    <row r="351">
      <c r="A351" s="3"/>
      <c r="B351" s="3"/>
      <c r="C351" s="3"/>
      <c r="E351" s="3"/>
      <c r="F351" s="3"/>
    </row>
    <row r="352">
      <c r="A352" s="3"/>
      <c r="B352" s="3"/>
      <c r="C352" s="3"/>
      <c r="E352" s="3"/>
      <c r="F352" s="3"/>
    </row>
    <row r="353">
      <c r="A353" s="3"/>
      <c r="B353" s="3"/>
      <c r="C353" s="3"/>
      <c r="E353" s="3"/>
      <c r="F353" s="3"/>
    </row>
    <row r="354">
      <c r="A354" s="3"/>
      <c r="B354" s="3"/>
      <c r="C354" s="3"/>
      <c r="E354" s="3"/>
      <c r="F354" s="3"/>
    </row>
    <row r="355">
      <c r="A355" s="3"/>
      <c r="B355" s="3"/>
      <c r="C355" s="3"/>
      <c r="E355" s="3"/>
      <c r="F355" s="3"/>
    </row>
    <row r="356">
      <c r="A356" s="3"/>
      <c r="B356" s="3"/>
      <c r="C356" s="3"/>
      <c r="E356" s="3"/>
      <c r="F356" s="3"/>
    </row>
    <row r="357">
      <c r="A357" s="3"/>
      <c r="B357" s="3"/>
      <c r="C357" s="3"/>
      <c r="E357" s="3"/>
      <c r="F357" s="3"/>
    </row>
    <row r="358">
      <c r="A358" s="3"/>
      <c r="B358" s="3"/>
      <c r="C358" s="3"/>
      <c r="E358" s="3"/>
      <c r="F358" s="3"/>
    </row>
    <row r="359">
      <c r="A359" s="3"/>
      <c r="B359" s="3"/>
      <c r="C359" s="3"/>
      <c r="E359" s="3"/>
      <c r="F359" s="3"/>
    </row>
    <row r="360">
      <c r="A360" s="3"/>
      <c r="B360" s="3"/>
      <c r="C360" s="3"/>
      <c r="E360" s="3"/>
      <c r="F360" s="3"/>
    </row>
    <row r="361">
      <c r="A361" s="3"/>
      <c r="B361" s="3"/>
      <c r="C361" s="3"/>
      <c r="E361" s="3"/>
      <c r="F361" s="3"/>
    </row>
    <row r="362">
      <c r="A362" s="3"/>
      <c r="B362" s="3"/>
      <c r="C362" s="3"/>
      <c r="E362" s="3"/>
      <c r="F362" s="3"/>
    </row>
    <row r="363">
      <c r="A363" s="3"/>
      <c r="B363" s="3"/>
      <c r="C363" s="3"/>
      <c r="E363" s="3"/>
      <c r="F363" s="3"/>
    </row>
    <row r="364">
      <c r="A364" s="3"/>
      <c r="B364" s="3"/>
      <c r="C364" s="3"/>
      <c r="E364" s="3"/>
      <c r="F364" s="3"/>
    </row>
    <row r="365">
      <c r="A365" s="3"/>
      <c r="B365" s="3"/>
      <c r="C365" s="3"/>
      <c r="E365" s="3"/>
      <c r="F365" s="3"/>
    </row>
    <row r="366">
      <c r="A366" s="3"/>
      <c r="B366" s="3"/>
      <c r="C366" s="3"/>
      <c r="E366" s="3"/>
      <c r="F366" s="3"/>
    </row>
    <row r="367">
      <c r="A367" s="3"/>
      <c r="B367" s="3"/>
      <c r="C367" s="3"/>
      <c r="E367" s="3"/>
      <c r="F367" s="3"/>
    </row>
    <row r="368">
      <c r="A368" s="3"/>
      <c r="B368" s="3"/>
      <c r="C368" s="3"/>
      <c r="E368" s="3"/>
      <c r="F368" s="3"/>
    </row>
    <row r="369">
      <c r="A369" s="3"/>
      <c r="B369" s="3"/>
      <c r="C369" s="3"/>
      <c r="E369" s="3"/>
      <c r="F369" s="3"/>
    </row>
    <row r="370">
      <c r="A370" s="3"/>
      <c r="B370" s="3"/>
      <c r="C370" s="3"/>
      <c r="E370" s="3"/>
      <c r="F370" s="3"/>
    </row>
    <row r="371">
      <c r="A371" s="3"/>
      <c r="B371" s="3"/>
      <c r="C371" s="3"/>
      <c r="E371" s="3"/>
      <c r="F371" s="3"/>
    </row>
    <row r="372">
      <c r="A372" s="3"/>
      <c r="B372" s="3"/>
      <c r="C372" s="3"/>
      <c r="E372" s="3"/>
      <c r="F372" s="3"/>
    </row>
    <row r="373">
      <c r="A373" s="3"/>
      <c r="B373" s="3"/>
      <c r="C373" s="3"/>
      <c r="E373" s="3"/>
      <c r="F373" s="3"/>
    </row>
    <row r="374">
      <c r="A374" s="3"/>
      <c r="B374" s="3"/>
      <c r="C374" s="3"/>
      <c r="E374" s="3"/>
      <c r="F374" s="3"/>
    </row>
    <row r="375">
      <c r="A375" s="3"/>
      <c r="B375" s="3"/>
      <c r="C375" s="3"/>
      <c r="E375" s="3"/>
      <c r="F375" s="3"/>
    </row>
    <row r="376">
      <c r="A376" s="3"/>
      <c r="B376" s="3"/>
      <c r="C376" s="3"/>
      <c r="E376" s="3"/>
      <c r="F376" s="3"/>
    </row>
    <row r="377">
      <c r="A377" s="3"/>
      <c r="B377" s="3"/>
      <c r="C377" s="3"/>
      <c r="E377" s="3"/>
      <c r="F377" s="3"/>
    </row>
    <row r="378">
      <c r="A378" s="3"/>
      <c r="B378" s="3"/>
      <c r="C378" s="3"/>
      <c r="E378" s="3"/>
      <c r="F378" s="3"/>
    </row>
    <row r="379">
      <c r="A379" s="3"/>
      <c r="B379" s="3"/>
      <c r="C379" s="3"/>
      <c r="E379" s="3"/>
      <c r="F379" s="3"/>
    </row>
    <row r="380">
      <c r="A380" s="3"/>
      <c r="B380" s="3"/>
      <c r="C380" s="3"/>
      <c r="E380" s="3"/>
      <c r="F380" s="3"/>
    </row>
    <row r="381">
      <c r="A381" s="3"/>
      <c r="B381" s="3"/>
      <c r="C381" s="3"/>
      <c r="E381" s="3"/>
      <c r="F381" s="3"/>
    </row>
    <row r="382">
      <c r="A382" s="3"/>
      <c r="B382" s="3"/>
      <c r="C382" s="3"/>
      <c r="E382" s="3"/>
      <c r="F382" s="3"/>
    </row>
    <row r="383">
      <c r="A383" s="3"/>
      <c r="B383" s="3"/>
      <c r="C383" s="3"/>
      <c r="E383" s="3"/>
      <c r="F383" s="3"/>
    </row>
    <row r="384">
      <c r="A384" s="3"/>
      <c r="B384" s="3"/>
      <c r="C384" s="3"/>
      <c r="E384" s="3"/>
      <c r="F384" s="3"/>
    </row>
    <row r="385">
      <c r="A385" s="3"/>
      <c r="B385" s="3"/>
      <c r="C385" s="3"/>
      <c r="E385" s="3"/>
      <c r="F385" s="3"/>
    </row>
    <row r="386">
      <c r="A386" s="3"/>
      <c r="B386" s="3"/>
      <c r="C386" s="3"/>
      <c r="E386" s="3"/>
      <c r="F386" s="3"/>
    </row>
    <row r="387">
      <c r="A387" s="3"/>
      <c r="B387" s="3"/>
      <c r="C387" s="3"/>
      <c r="E387" s="3"/>
      <c r="F387" s="3"/>
    </row>
    <row r="388">
      <c r="A388" s="3"/>
      <c r="B388" s="3"/>
      <c r="C388" s="3"/>
      <c r="E388" s="3"/>
      <c r="F388" s="3"/>
    </row>
    <row r="389">
      <c r="A389" s="3"/>
      <c r="B389" s="3"/>
      <c r="C389" s="3"/>
      <c r="E389" s="3"/>
      <c r="F389" s="3"/>
    </row>
    <row r="390">
      <c r="A390" s="3"/>
      <c r="B390" s="3"/>
      <c r="C390" s="3"/>
      <c r="E390" s="3"/>
      <c r="F390" s="3"/>
    </row>
    <row r="391">
      <c r="A391" s="3"/>
      <c r="B391" s="3"/>
      <c r="C391" s="3"/>
      <c r="E391" s="3"/>
      <c r="F391" s="3"/>
    </row>
    <row r="392">
      <c r="A392" s="3"/>
      <c r="B392" s="3"/>
      <c r="C392" s="3"/>
      <c r="E392" s="3"/>
      <c r="F392" s="3"/>
    </row>
    <row r="393">
      <c r="A393" s="3"/>
      <c r="B393" s="3"/>
      <c r="C393" s="3"/>
      <c r="E393" s="3"/>
      <c r="F393" s="3"/>
    </row>
    <row r="394">
      <c r="A394" s="3"/>
      <c r="B394" s="3"/>
      <c r="C394" s="3"/>
      <c r="E394" s="3"/>
      <c r="F394" s="3"/>
    </row>
    <row r="395">
      <c r="A395" s="3"/>
      <c r="B395" s="3"/>
      <c r="C395" s="3"/>
      <c r="E395" s="3"/>
      <c r="F395" s="3"/>
    </row>
    <row r="396">
      <c r="A396" s="3"/>
      <c r="B396" s="3"/>
      <c r="C396" s="3"/>
      <c r="E396" s="3"/>
      <c r="F396" s="3"/>
    </row>
    <row r="397">
      <c r="A397" s="3"/>
      <c r="B397" s="3"/>
      <c r="C397" s="3"/>
      <c r="E397" s="3"/>
      <c r="F397" s="3"/>
    </row>
    <row r="398">
      <c r="A398" s="3"/>
      <c r="B398" s="3"/>
      <c r="C398" s="3"/>
      <c r="E398" s="3"/>
      <c r="F398" s="3"/>
    </row>
    <row r="399">
      <c r="A399" s="3"/>
      <c r="B399" s="3"/>
      <c r="C399" s="3"/>
      <c r="E399" s="3"/>
      <c r="F399" s="3"/>
    </row>
    <row r="400">
      <c r="A400" s="3"/>
      <c r="B400" s="3"/>
      <c r="C400" s="3"/>
      <c r="E400" s="3"/>
      <c r="F400" s="3"/>
    </row>
    <row r="401">
      <c r="A401" s="3"/>
      <c r="B401" s="3"/>
      <c r="C401" s="3"/>
      <c r="E401" s="3"/>
      <c r="F401" s="3"/>
    </row>
    <row r="402">
      <c r="A402" s="3"/>
      <c r="B402" s="3"/>
      <c r="C402" s="3"/>
      <c r="E402" s="3"/>
      <c r="F402" s="3"/>
    </row>
    <row r="403">
      <c r="A403" s="3"/>
      <c r="B403" s="3"/>
      <c r="C403" s="3"/>
      <c r="E403" s="3"/>
      <c r="F403" s="3"/>
    </row>
    <row r="404">
      <c r="A404" s="3"/>
      <c r="B404" s="3"/>
      <c r="C404" s="3"/>
      <c r="E404" s="3"/>
      <c r="F404" s="3"/>
    </row>
    <row r="405">
      <c r="A405" s="3"/>
      <c r="B405" s="3"/>
      <c r="C405" s="3"/>
      <c r="E405" s="3"/>
      <c r="F405" s="3"/>
    </row>
    <row r="406">
      <c r="A406" s="3"/>
      <c r="B406" s="3"/>
      <c r="C406" s="3"/>
      <c r="E406" s="3"/>
      <c r="F406" s="3"/>
    </row>
    <row r="407">
      <c r="A407" s="3"/>
      <c r="B407" s="3"/>
      <c r="C407" s="3"/>
      <c r="E407" s="3"/>
      <c r="F407" s="3"/>
    </row>
    <row r="408">
      <c r="A408" s="3"/>
      <c r="B408" s="3"/>
      <c r="C408" s="3"/>
      <c r="E408" s="3"/>
      <c r="F408" s="3"/>
    </row>
    <row r="409">
      <c r="A409" s="3"/>
      <c r="B409" s="3"/>
      <c r="C409" s="3"/>
      <c r="E409" s="3"/>
      <c r="F409" s="3"/>
    </row>
    <row r="410">
      <c r="A410" s="3"/>
      <c r="B410" s="3"/>
      <c r="C410" s="3"/>
      <c r="E410" s="3"/>
      <c r="F410" s="3"/>
    </row>
    <row r="411">
      <c r="A411" s="3"/>
      <c r="B411" s="3"/>
      <c r="C411" s="3"/>
      <c r="E411" s="3"/>
      <c r="F411" s="3"/>
    </row>
    <row r="412">
      <c r="A412" s="3"/>
      <c r="B412" s="3"/>
      <c r="C412" s="3"/>
      <c r="E412" s="3"/>
      <c r="F412" s="3"/>
    </row>
    <row r="413">
      <c r="A413" s="3"/>
      <c r="B413" s="3"/>
      <c r="C413" s="3"/>
      <c r="E413" s="3"/>
      <c r="F413" s="3"/>
    </row>
    <row r="414">
      <c r="A414" s="3"/>
      <c r="B414" s="3"/>
      <c r="C414" s="3"/>
      <c r="E414" s="3"/>
      <c r="F414" s="3"/>
    </row>
    <row r="415">
      <c r="A415" s="3"/>
      <c r="B415" s="3"/>
      <c r="C415" s="3"/>
      <c r="E415" s="3"/>
      <c r="F415" s="3"/>
    </row>
    <row r="416">
      <c r="A416" s="3"/>
      <c r="B416" s="3"/>
      <c r="C416" s="3"/>
      <c r="E416" s="3"/>
      <c r="F416" s="3"/>
    </row>
    <row r="417">
      <c r="A417" s="3"/>
      <c r="B417" s="3"/>
      <c r="C417" s="3"/>
      <c r="E417" s="3"/>
      <c r="F417" s="3"/>
    </row>
    <row r="418">
      <c r="A418" s="3"/>
      <c r="B418" s="3"/>
      <c r="C418" s="3"/>
      <c r="E418" s="3"/>
      <c r="F418" s="3"/>
    </row>
    <row r="419">
      <c r="A419" s="3"/>
      <c r="B419" s="3"/>
      <c r="C419" s="3"/>
      <c r="E419" s="3"/>
      <c r="F419" s="3"/>
    </row>
    <row r="420">
      <c r="A420" s="3"/>
      <c r="B420" s="3"/>
      <c r="C420" s="3"/>
      <c r="E420" s="3"/>
      <c r="F420" s="3"/>
    </row>
    <row r="421">
      <c r="A421" s="3"/>
      <c r="B421" s="3"/>
      <c r="C421" s="3"/>
      <c r="E421" s="3"/>
      <c r="F421" s="3"/>
    </row>
    <row r="422">
      <c r="A422" s="3"/>
      <c r="B422" s="3"/>
      <c r="C422" s="3"/>
      <c r="E422" s="3"/>
      <c r="F422" s="3"/>
    </row>
    <row r="423">
      <c r="A423" s="3"/>
      <c r="B423" s="3"/>
      <c r="C423" s="3"/>
      <c r="E423" s="3"/>
      <c r="F423" s="3"/>
    </row>
    <row r="424">
      <c r="A424" s="3"/>
      <c r="B424" s="3"/>
      <c r="C424" s="3"/>
      <c r="E424" s="3"/>
      <c r="F424" s="3"/>
    </row>
    <row r="425">
      <c r="A425" s="3"/>
      <c r="B425" s="3"/>
      <c r="C425" s="3"/>
      <c r="E425" s="3"/>
      <c r="F425" s="3"/>
    </row>
    <row r="426">
      <c r="A426" s="3"/>
      <c r="B426" s="3"/>
      <c r="C426" s="3"/>
      <c r="E426" s="3"/>
      <c r="F426" s="3"/>
    </row>
    <row r="427">
      <c r="A427" s="3"/>
      <c r="B427" s="3"/>
      <c r="C427" s="3"/>
      <c r="E427" s="3"/>
      <c r="F427" s="3"/>
    </row>
    <row r="428">
      <c r="A428" s="3"/>
      <c r="B428" s="3"/>
      <c r="C428" s="3"/>
      <c r="E428" s="3"/>
      <c r="F428" s="3"/>
    </row>
    <row r="429">
      <c r="A429" s="3"/>
      <c r="B429" s="3"/>
      <c r="C429" s="3"/>
      <c r="E429" s="3"/>
      <c r="F429" s="3"/>
    </row>
    <row r="430">
      <c r="A430" s="3"/>
      <c r="B430" s="3"/>
      <c r="C430" s="3"/>
      <c r="E430" s="3"/>
      <c r="F430" s="3"/>
    </row>
    <row r="431">
      <c r="A431" s="3"/>
      <c r="B431" s="3"/>
      <c r="C431" s="3"/>
      <c r="E431" s="3"/>
      <c r="F431" s="3"/>
    </row>
    <row r="432">
      <c r="A432" s="3"/>
      <c r="B432" s="3"/>
      <c r="C432" s="3"/>
      <c r="E432" s="3"/>
      <c r="F432" s="3"/>
    </row>
    <row r="433">
      <c r="A433" s="3"/>
      <c r="B433" s="3"/>
      <c r="C433" s="3"/>
      <c r="E433" s="3"/>
      <c r="F433" s="3"/>
    </row>
    <row r="434">
      <c r="A434" s="3"/>
      <c r="B434" s="3"/>
      <c r="C434" s="3"/>
      <c r="E434" s="3"/>
      <c r="F434" s="3"/>
    </row>
    <row r="435">
      <c r="A435" s="3"/>
      <c r="B435" s="3"/>
      <c r="C435" s="3"/>
      <c r="E435" s="3"/>
      <c r="F435" s="3"/>
    </row>
    <row r="436">
      <c r="A436" s="3"/>
      <c r="B436" s="3"/>
      <c r="C436" s="3"/>
      <c r="E436" s="3"/>
      <c r="F436" s="3"/>
    </row>
    <row r="437">
      <c r="A437" s="3"/>
      <c r="B437" s="3"/>
      <c r="C437" s="3"/>
      <c r="E437" s="3"/>
      <c r="F437" s="3"/>
    </row>
    <row r="438">
      <c r="A438" s="3"/>
      <c r="B438" s="3"/>
      <c r="C438" s="3"/>
      <c r="E438" s="3"/>
      <c r="F438" s="3"/>
    </row>
    <row r="439">
      <c r="A439" s="3"/>
      <c r="B439" s="3"/>
      <c r="C439" s="3"/>
      <c r="E439" s="3"/>
      <c r="F439" s="3"/>
    </row>
    <row r="440">
      <c r="A440" s="3"/>
      <c r="B440" s="3"/>
      <c r="C440" s="3"/>
      <c r="E440" s="3"/>
      <c r="F440" s="3"/>
    </row>
    <row r="441">
      <c r="A441" s="3"/>
      <c r="B441" s="3"/>
      <c r="C441" s="3"/>
      <c r="E441" s="3"/>
      <c r="F441" s="3"/>
    </row>
    <row r="442">
      <c r="A442" s="3"/>
      <c r="B442" s="3"/>
      <c r="C442" s="3"/>
      <c r="E442" s="3"/>
      <c r="F442" s="3"/>
    </row>
    <row r="443">
      <c r="A443" s="3"/>
      <c r="B443" s="3"/>
      <c r="C443" s="3"/>
      <c r="E443" s="3"/>
      <c r="F443" s="3"/>
    </row>
    <row r="444">
      <c r="A444" s="3"/>
      <c r="B444" s="3"/>
      <c r="C444" s="3"/>
      <c r="E444" s="3"/>
      <c r="F444" s="3"/>
    </row>
    <row r="445">
      <c r="A445" s="3"/>
      <c r="B445" s="3"/>
      <c r="C445" s="3"/>
      <c r="E445" s="3"/>
      <c r="F445" s="3"/>
    </row>
    <row r="446">
      <c r="A446" s="3"/>
      <c r="B446" s="3"/>
      <c r="C446" s="3"/>
      <c r="E446" s="3"/>
      <c r="F446" s="3"/>
    </row>
    <row r="447">
      <c r="A447" s="3"/>
      <c r="B447" s="3"/>
      <c r="C447" s="3"/>
      <c r="E447" s="3"/>
      <c r="F447" s="3"/>
    </row>
    <row r="448">
      <c r="A448" s="3"/>
      <c r="B448" s="3"/>
      <c r="C448" s="3"/>
      <c r="E448" s="3"/>
      <c r="F448" s="3"/>
    </row>
    <row r="449">
      <c r="A449" s="3"/>
      <c r="B449" s="3"/>
      <c r="C449" s="3"/>
      <c r="E449" s="3"/>
      <c r="F449" s="3"/>
    </row>
    <row r="450">
      <c r="A450" s="3"/>
      <c r="B450" s="3"/>
      <c r="C450" s="3"/>
      <c r="E450" s="3"/>
      <c r="F450" s="3"/>
    </row>
    <row r="451">
      <c r="A451" s="3"/>
      <c r="B451" s="3"/>
      <c r="C451" s="3"/>
      <c r="E451" s="3"/>
      <c r="F451" s="3"/>
    </row>
    <row r="452">
      <c r="A452" s="3"/>
      <c r="B452" s="3"/>
      <c r="C452" s="3"/>
      <c r="E452" s="3"/>
      <c r="F452" s="3"/>
    </row>
    <row r="453">
      <c r="A453" s="3"/>
      <c r="B453" s="3"/>
      <c r="C453" s="3"/>
      <c r="E453" s="3"/>
      <c r="F453" s="3"/>
    </row>
    <row r="454">
      <c r="A454" s="3"/>
      <c r="B454" s="3"/>
      <c r="C454" s="3"/>
      <c r="E454" s="3"/>
      <c r="F454" s="3"/>
    </row>
    <row r="455">
      <c r="A455" s="3"/>
      <c r="B455" s="3"/>
      <c r="C455" s="3"/>
      <c r="E455" s="3"/>
      <c r="F455" s="3"/>
    </row>
    <row r="456">
      <c r="A456" s="3"/>
      <c r="B456" s="3"/>
      <c r="C456" s="3"/>
      <c r="E456" s="3"/>
      <c r="F456" s="3"/>
    </row>
    <row r="457">
      <c r="A457" s="3"/>
      <c r="B457" s="3"/>
      <c r="C457" s="3"/>
      <c r="E457" s="3"/>
      <c r="F457" s="3"/>
    </row>
    <row r="458">
      <c r="A458" s="3"/>
      <c r="B458" s="3"/>
      <c r="C458" s="3"/>
      <c r="E458" s="3"/>
      <c r="F458" s="3"/>
    </row>
    <row r="459">
      <c r="A459" s="3"/>
      <c r="B459" s="3"/>
      <c r="C459" s="3"/>
      <c r="E459" s="3"/>
      <c r="F459" s="3"/>
    </row>
    <row r="460">
      <c r="A460" s="3"/>
      <c r="B460" s="3"/>
      <c r="C460" s="3"/>
      <c r="E460" s="3"/>
      <c r="F460" s="3"/>
    </row>
    <row r="461">
      <c r="A461" s="3"/>
      <c r="B461" s="3"/>
      <c r="C461" s="3"/>
      <c r="E461" s="3"/>
      <c r="F461" s="3"/>
    </row>
    <row r="462">
      <c r="A462" s="3"/>
      <c r="B462" s="3"/>
      <c r="C462" s="3"/>
      <c r="E462" s="3"/>
      <c r="F462" s="3"/>
    </row>
    <row r="463">
      <c r="A463" s="3"/>
      <c r="B463" s="3"/>
      <c r="C463" s="3"/>
      <c r="E463" s="3"/>
      <c r="F463" s="3"/>
    </row>
    <row r="464">
      <c r="A464" s="3"/>
      <c r="B464" s="3"/>
      <c r="C464" s="3"/>
      <c r="E464" s="3"/>
      <c r="F464" s="3"/>
    </row>
    <row r="465">
      <c r="A465" s="3"/>
      <c r="B465" s="3"/>
      <c r="C465" s="3"/>
      <c r="E465" s="3"/>
      <c r="F465" s="3"/>
    </row>
    <row r="466">
      <c r="A466" s="3"/>
      <c r="B466" s="3"/>
      <c r="C466" s="3"/>
      <c r="E466" s="3"/>
      <c r="F466" s="3"/>
    </row>
    <row r="467">
      <c r="A467" s="3"/>
      <c r="B467" s="3"/>
      <c r="C467" s="3"/>
      <c r="E467" s="3"/>
      <c r="F467" s="3"/>
    </row>
    <row r="468">
      <c r="A468" s="3"/>
      <c r="B468" s="3"/>
      <c r="C468" s="3"/>
      <c r="E468" s="3"/>
      <c r="F468" s="3"/>
    </row>
    <row r="469">
      <c r="A469" s="3"/>
      <c r="B469" s="3"/>
      <c r="C469" s="3"/>
      <c r="E469" s="3"/>
      <c r="F469" s="3"/>
    </row>
    <row r="470">
      <c r="A470" s="3"/>
      <c r="B470" s="3"/>
      <c r="C470" s="3"/>
      <c r="E470" s="3"/>
      <c r="F470" s="3"/>
    </row>
    <row r="471">
      <c r="A471" s="3"/>
      <c r="B471" s="3"/>
      <c r="C471" s="3"/>
      <c r="E471" s="3"/>
      <c r="F471" s="3"/>
    </row>
    <row r="472">
      <c r="A472" s="3"/>
      <c r="B472" s="3"/>
      <c r="C472" s="3"/>
      <c r="E472" s="3"/>
      <c r="F472" s="3"/>
    </row>
    <row r="473">
      <c r="A473" s="3"/>
      <c r="B473" s="3"/>
      <c r="C473" s="3"/>
      <c r="E473" s="3"/>
      <c r="F473" s="3"/>
    </row>
    <row r="474">
      <c r="A474" s="3"/>
      <c r="B474" s="3"/>
      <c r="C474" s="3"/>
      <c r="E474" s="3"/>
      <c r="F474" s="3"/>
    </row>
    <row r="475">
      <c r="A475" s="3"/>
      <c r="B475" s="3"/>
      <c r="C475" s="3"/>
      <c r="E475" s="3"/>
      <c r="F475" s="3"/>
    </row>
    <row r="476">
      <c r="A476" s="3"/>
      <c r="B476" s="3"/>
      <c r="C476" s="3"/>
      <c r="E476" s="3"/>
      <c r="F476" s="3"/>
    </row>
    <row r="477">
      <c r="A477" s="3"/>
      <c r="B477" s="3"/>
      <c r="C477" s="3"/>
      <c r="E477" s="3"/>
      <c r="F477" s="3"/>
    </row>
    <row r="478">
      <c r="A478" s="3"/>
      <c r="B478" s="3"/>
      <c r="C478" s="3"/>
      <c r="E478" s="3"/>
      <c r="F478" s="3"/>
    </row>
    <row r="479">
      <c r="A479" s="3"/>
      <c r="B479" s="3"/>
      <c r="C479" s="3"/>
      <c r="E479" s="3"/>
      <c r="F479" s="3"/>
    </row>
    <row r="480">
      <c r="A480" s="3"/>
      <c r="B480" s="3"/>
      <c r="C480" s="3"/>
      <c r="E480" s="3"/>
      <c r="F480" s="3"/>
    </row>
    <row r="481">
      <c r="A481" s="3"/>
      <c r="B481" s="3"/>
      <c r="C481" s="3"/>
      <c r="E481" s="3"/>
      <c r="F481" s="3"/>
    </row>
    <row r="482">
      <c r="A482" s="3"/>
      <c r="B482" s="3"/>
      <c r="C482" s="3"/>
      <c r="E482" s="3"/>
      <c r="F482" s="3"/>
    </row>
    <row r="483">
      <c r="A483" s="3"/>
      <c r="B483" s="3"/>
      <c r="C483" s="3"/>
      <c r="E483" s="3"/>
      <c r="F483" s="3"/>
    </row>
    <row r="484">
      <c r="A484" s="3"/>
      <c r="B484" s="3"/>
      <c r="C484" s="3"/>
      <c r="E484" s="3"/>
      <c r="F484" s="3"/>
    </row>
    <row r="485">
      <c r="A485" s="3"/>
      <c r="B485" s="3"/>
      <c r="C485" s="3"/>
      <c r="E485" s="3"/>
      <c r="F485" s="3"/>
    </row>
    <row r="486">
      <c r="A486" s="3"/>
      <c r="B486" s="3"/>
      <c r="C486" s="3"/>
      <c r="E486" s="3"/>
      <c r="F486" s="3"/>
    </row>
    <row r="487">
      <c r="A487" s="3"/>
      <c r="B487" s="3"/>
      <c r="C487" s="3"/>
      <c r="E487" s="3"/>
      <c r="F487" s="3"/>
    </row>
    <row r="488">
      <c r="A488" s="3"/>
      <c r="B488" s="3"/>
      <c r="C488" s="3"/>
      <c r="E488" s="3"/>
      <c r="F488" s="3"/>
    </row>
    <row r="489">
      <c r="A489" s="3"/>
      <c r="B489" s="3"/>
      <c r="C489" s="3"/>
      <c r="E489" s="3"/>
      <c r="F489" s="3"/>
    </row>
    <row r="490">
      <c r="A490" s="3"/>
      <c r="B490" s="3"/>
      <c r="C490" s="3"/>
      <c r="E490" s="3"/>
      <c r="F490" s="3"/>
    </row>
    <row r="491">
      <c r="A491" s="3"/>
      <c r="B491" s="3"/>
      <c r="C491" s="3"/>
      <c r="E491" s="3"/>
      <c r="F491" s="3"/>
    </row>
    <row r="492">
      <c r="A492" s="3"/>
      <c r="B492" s="3"/>
      <c r="C492" s="3"/>
      <c r="E492" s="3"/>
      <c r="F492" s="3"/>
    </row>
    <row r="493">
      <c r="A493" s="3"/>
      <c r="B493" s="3"/>
      <c r="C493" s="3"/>
      <c r="E493" s="3"/>
      <c r="F493" s="3"/>
    </row>
    <row r="494">
      <c r="A494" s="3"/>
      <c r="B494" s="3"/>
      <c r="C494" s="3"/>
      <c r="E494" s="3"/>
      <c r="F494" s="3"/>
    </row>
    <row r="495">
      <c r="A495" s="3"/>
      <c r="B495" s="3"/>
      <c r="C495" s="3"/>
      <c r="E495" s="3"/>
      <c r="F495" s="3"/>
    </row>
    <row r="496">
      <c r="A496" s="3"/>
      <c r="B496" s="3"/>
      <c r="C496" s="3"/>
      <c r="E496" s="3"/>
      <c r="F496" s="3"/>
    </row>
    <row r="497">
      <c r="A497" s="3"/>
      <c r="B497" s="3"/>
      <c r="C497" s="3"/>
      <c r="E497" s="3"/>
      <c r="F497" s="3"/>
    </row>
    <row r="498">
      <c r="A498" s="3"/>
      <c r="B498" s="3"/>
      <c r="C498" s="3"/>
      <c r="E498" s="3"/>
      <c r="F498" s="3"/>
    </row>
    <row r="499">
      <c r="A499" s="3"/>
      <c r="B499" s="3"/>
      <c r="C499" s="3"/>
      <c r="E499" s="3"/>
      <c r="F499" s="3"/>
    </row>
    <row r="500">
      <c r="A500" s="3"/>
      <c r="B500" s="3"/>
      <c r="C500" s="3"/>
      <c r="E500" s="3"/>
      <c r="F500" s="3"/>
    </row>
    <row r="501">
      <c r="A501" s="3"/>
      <c r="B501" s="3"/>
      <c r="C501" s="3"/>
      <c r="E501" s="3"/>
      <c r="F501" s="3"/>
    </row>
    <row r="502">
      <c r="A502" s="3"/>
      <c r="B502" s="3"/>
      <c r="C502" s="3"/>
      <c r="E502" s="3"/>
      <c r="F502" s="3"/>
    </row>
    <row r="503">
      <c r="A503" s="3"/>
      <c r="B503" s="3"/>
      <c r="C503" s="3"/>
      <c r="E503" s="3"/>
      <c r="F503" s="3"/>
    </row>
    <row r="504">
      <c r="A504" s="3"/>
      <c r="B504" s="3"/>
      <c r="C504" s="3"/>
      <c r="E504" s="3"/>
      <c r="F504" s="3"/>
    </row>
    <row r="505">
      <c r="A505" s="3"/>
      <c r="B505" s="3"/>
      <c r="C505" s="3"/>
      <c r="E505" s="3"/>
      <c r="F505" s="3"/>
    </row>
    <row r="506">
      <c r="A506" s="3"/>
      <c r="B506" s="3"/>
      <c r="C506" s="3"/>
      <c r="E506" s="3"/>
      <c r="F506" s="3"/>
    </row>
    <row r="507">
      <c r="A507" s="3"/>
      <c r="B507" s="3"/>
      <c r="C507" s="3"/>
      <c r="E507" s="3"/>
      <c r="F507" s="3"/>
    </row>
    <row r="508">
      <c r="A508" s="3"/>
      <c r="B508" s="3"/>
      <c r="C508" s="3"/>
      <c r="E508" s="3"/>
      <c r="F508" s="3"/>
    </row>
    <row r="509">
      <c r="A509" s="3"/>
      <c r="B509" s="3"/>
      <c r="C509" s="3"/>
      <c r="E509" s="3"/>
      <c r="F509" s="3"/>
    </row>
    <row r="510">
      <c r="A510" s="3"/>
      <c r="B510" s="3"/>
      <c r="C510" s="3"/>
      <c r="E510" s="3"/>
      <c r="F510" s="3"/>
    </row>
    <row r="511">
      <c r="A511" s="3"/>
      <c r="B511" s="3"/>
      <c r="C511" s="3"/>
      <c r="E511" s="3"/>
      <c r="F511" s="3"/>
    </row>
    <row r="512">
      <c r="A512" s="3"/>
      <c r="B512" s="3"/>
      <c r="C512" s="3"/>
      <c r="E512" s="3"/>
      <c r="F512" s="3"/>
    </row>
    <row r="513">
      <c r="A513" s="3"/>
      <c r="B513" s="3"/>
      <c r="C513" s="3"/>
      <c r="E513" s="3"/>
      <c r="F513" s="3"/>
    </row>
    <row r="514">
      <c r="A514" s="3"/>
      <c r="B514" s="3"/>
      <c r="C514" s="3"/>
      <c r="E514" s="3"/>
      <c r="F514" s="3"/>
    </row>
    <row r="515">
      <c r="A515" s="3"/>
      <c r="B515" s="3"/>
      <c r="C515" s="3"/>
      <c r="E515" s="3"/>
      <c r="F515" s="3"/>
    </row>
    <row r="516">
      <c r="A516" s="3"/>
      <c r="B516" s="3"/>
      <c r="C516" s="3"/>
      <c r="E516" s="3"/>
      <c r="F516" s="3"/>
    </row>
    <row r="517">
      <c r="A517" s="3"/>
      <c r="B517" s="3"/>
      <c r="C517" s="3"/>
      <c r="E517" s="3"/>
      <c r="F517" s="3"/>
    </row>
    <row r="518">
      <c r="A518" s="3"/>
      <c r="B518" s="3"/>
      <c r="C518" s="3"/>
      <c r="E518" s="3"/>
      <c r="F518" s="3"/>
    </row>
    <row r="519">
      <c r="A519" s="3"/>
      <c r="B519" s="3"/>
      <c r="C519" s="3"/>
      <c r="E519" s="3"/>
      <c r="F519" s="3"/>
    </row>
    <row r="520">
      <c r="A520" s="3"/>
      <c r="B520" s="3"/>
      <c r="C520" s="3"/>
      <c r="E520" s="3"/>
      <c r="F520" s="3"/>
    </row>
    <row r="521">
      <c r="A521" s="3"/>
      <c r="B521" s="3"/>
      <c r="C521" s="3"/>
      <c r="E521" s="3"/>
      <c r="F521" s="3"/>
    </row>
    <row r="522">
      <c r="A522" s="3"/>
      <c r="B522" s="3"/>
      <c r="C522" s="3"/>
      <c r="E522" s="3"/>
      <c r="F522" s="3"/>
    </row>
    <row r="523">
      <c r="A523" s="3"/>
      <c r="B523" s="3"/>
      <c r="C523" s="3"/>
      <c r="E523" s="3"/>
      <c r="F523" s="3"/>
    </row>
    <row r="524">
      <c r="A524" s="3"/>
      <c r="B524" s="3"/>
      <c r="C524" s="3"/>
      <c r="E524" s="3"/>
      <c r="F524" s="3"/>
    </row>
    <row r="525">
      <c r="A525" s="3"/>
      <c r="B525" s="3"/>
      <c r="C525" s="3"/>
      <c r="E525" s="3"/>
      <c r="F525" s="3"/>
    </row>
    <row r="526">
      <c r="A526" s="3"/>
      <c r="B526" s="3"/>
      <c r="C526" s="3"/>
      <c r="E526" s="3"/>
      <c r="F526" s="3"/>
    </row>
    <row r="527">
      <c r="A527" s="3"/>
      <c r="B527" s="3"/>
      <c r="C527" s="3"/>
      <c r="E527" s="3"/>
      <c r="F527" s="3"/>
    </row>
    <row r="528">
      <c r="A528" s="3"/>
      <c r="B528" s="3"/>
      <c r="C528" s="3"/>
      <c r="E528" s="3"/>
      <c r="F528" s="3"/>
    </row>
    <row r="529">
      <c r="A529" s="3"/>
      <c r="B529" s="3"/>
      <c r="C529" s="3"/>
      <c r="E529" s="3"/>
      <c r="F529" s="3"/>
    </row>
    <row r="530">
      <c r="A530" s="3"/>
      <c r="B530" s="3"/>
      <c r="C530" s="3"/>
      <c r="E530" s="3"/>
      <c r="F530" s="3"/>
    </row>
    <row r="531">
      <c r="A531" s="3"/>
      <c r="B531" s="3"/>
      <c r="C531" s="3"/>
      <c r="E531" s="3"/>
      <c r="F531" s="3"/>
    </row>
    <row r="532">
      <c r="A532" s="3"/>
      <c r="B532" s="3"/>
      <c r="C532" s="3"/>
      <c r="E532" s="3"/>
      <c r="F532" s="3"/>
    </row>
    <row r="533">
      <c r="A533" s="3"/>
      <c r="B533" s="3"/>
      <c r="C533" s="3"/>
      <c r="E533" s="3"/>
      <c r="F533" s="3"/>
    </row>
    <row r="534">
      <c r="A534" s="3"/>
      <c r="B534" s="3"/>
      <c r="C534" s="3"/>
      <c r="E534" s="3"/>
      <c r="F534" s="3"/>
    </row>
    <row r="535">
      <c r="A535" s="3"/>
      <c r="B535" s="3"/>
      <c r="C535" s="3"/>
      <c r="E535" s="3"/>
      <c r="F535" s="3"/>
    </row>
    <row r="536">
      <c r="A536" s="3"/>
      <c r="B536" s="3"/>
      <c r="C536" s="3"/>
      <c r="E536" s="3"/>
      <c r="F536" s="3"/>
    </row>
    <row r="537">
      <c r="A537" s="3"/>
      <c r="B537" s="3"/>
      <c r="C537" s="3"/>
      <c r="E537" s="3"/>
      <c r="F537" s="3"/>
    </row>
    <row r="538">
      <c r="A538" s="3"/>
      <c r="B538" s="3"/>
      <c r="C538" s="3"/>
      <c r="E538" s="3"/>
      <c r="F538" s="3"/>
    </row>
    <row r="539">
      <c r="A539" s="3"/>
      <c r="B539" s="3"/>
      <c r="C539" s="3"/>
      <c r="E539" s="3"/>
      <c r="F539" s="3"/>
    </row>
    <row r="540">
      <c r="A540" s="3"/>
      <c r="B540" s="3"/>
      <c r="C540" s="3"/>
      <c r="E540" s="3"/>
      <c r="F540" s="3"/>
    </row>
    <row r="541">
      <c r="A541" s="3"/>
      <c r="B541" s="3"/>
      <c r="C541" s="3"/>
      <c r="E541" s="3"/>
      <c r="F541" s="3"/>
    </row>
    <row r="542">
      <c r="A542" s="3"/>
      <c r="B542" s="3"/>
      <c r="C542" s="3"/>
      <c r="E542" s="3"/>
      <c r="F542" s="3"/>
    </row>
    <row r="543">
      <c r="A543" s="3"/>
      <c r="B543" s="3"/>
      <c r="C543" s="3"/>
      <c r="E543" s="3"/>
      <c r="F543" s="3"/>
    </row>
    <row r="544">
      <c r="A544" s="3"/>
      <c r="B544" s="3"/>
      <c r="C544" s="3"/>
      <c r="E544" s="3"/>
      <c r="F544" s="3"/>
    </row>
    <row r="545">
      <c r="A545" s="3"/>
      <c r="B545" s="3"/>
      <c r="C545" s="3"/>
      <c r="E545" s="3"/>
      <c r="F545" s="3"/>
    </row>
    <row r="546">
      <c r="A546" s="3"/>
      <c r="B546" s="3"/>
      <c r="C546" s="3"/>
      <c r="E546" s="3"/>
      <c r="F546" s="3"/>
    </row>
    <row r="547">
      <c r="A547" s="3"/>
      <c r="B547" s="3"/>
      <c r="C547" s="3"/>
      <c r="E547" s="3"/>
      <c r="F547" s="3"/>
    </row>
    <row r="548">
      <c r="A548" s="3"/>
      <c r="B548" s="3"/>
      <c r="C548" s="3"/>
      <c r="E548" s="3"/>
      <c r="F548" s="3"/>
    </row>
    <row r="549">
      <c r="A549" s="3"/>
      <c r="B549" s="3"/>
      <c r="C549" s="3"/>
      <c r="E549" s="3"/>
      <c r="F549" s="3"/>
    </row>
    <row r="550">
      <c r="A550" s="3"/>
      <c r="B550" s="3"/>
      <c r="C550" s="3"/>
      <c r="E550" s="3"/>
      <c r="F550" s="3"/>
    </row>
    <row r="551">
      <c r="A551" s="3"/>
      <c r="B551" s="3"/>
      <c r="C551" s="3"/>
      <c r="E551" s="3"/>
      <c r="F551" s="3"/>
    </row>
    <row r="552">
      <c r="A552" s="3"/>
      <c r="B552" s="3"/>
      <c r="C552" s="3"/>
      <c r="E552" s="3"/>
      <c r="F552" s="3"/>
    </row>
    <row r="553">
      <c r="A553" s="3"/>
      <c r="B553" s="3"/>
      <c r="C553" s="3"/>
      <c r="E553" s="3"/>
      <c r="F553" s="3"/>
    </row>
    <row r="554">
      <c r="A554" s="3"/>
      <c r="B554" s="3"/>
      <c r="C554" s="3"/>
      <c r="E554" s="3"/>
      <c r="F554" s="3"/>
    </row>
    <row r="555">
      <c r="A555" s="3"/>
      <c r="B555" s="3"/>
      <c r="C555" s="3"/>
      <c r="E555" s="3"/>
      <c r="F555" s="3"/>
    </row>
    <row r="556">
      <c r="A556" s="3"/>
      <c r="B556" s="3"/>
      <c r="C556" s="3"/>
      <c r="E556" s="3"/>
      <c r="F556" s="3"/>
    </row>
    <row r="557">
      <c r="A557" s="3"/>
      <c r="B557" s="3"/>
      <c r="C557" s="3"/>
      <c r="E557" s="3"/>
      <c r="F557" s="3"/>
    </row>
    <row r="558">
      <c r="A558" s="3"/>
      <c r="B558" s="3"/>
      <c r="C558" s="3"/>
      <c r="E558" s="3"/>
      <c r="F558" s="3"/>
    </row>
    <row r="559">
      <c r="A559" s="3"/>
      <c r="B559" s="3"/>
      <c r="C559" s="3"/>
      <c r="E559" s="3"/>
      <c r="F559" s="3"/>
    </row>
    <row r="560">
      <c r="A560" s="3"/>
      <c r="B560" s="3"/>
      <c r="C560" s="3"/>
      <c r="E560" s="3"/>
      <c r="F560" s="3"/>
    </row>
    <row r="561">
      <c r="A561" s="3"/>
      <c r="B561" s="3"/>
      <c r="C561" s="3"/>
      <c r="E561" s="3"/>
      <c r="F561" s="3"/>
    </row>
    <row r="562">
      <c r="A562" s="3"/>
      <c r="B562" s="3"/>
      <c r="C562" s="3"/>
      <c r="E562" s="3"/>
      <c r="F562" s="3"/>
    </row>
    <row r="563">
      <c r="A563" s="3"/>
      <c r="B563" s="3"/>
      <c r="C563" s="3"/>
      <c r="E563" s="3"/>
      <c r="F563" s="3"/>
    </row>
    <row r="564">
      <c r="A564" s="3"/>
      <c r="B564" s="3"/>
      <c r="C564" s="3"/>
      <c r="E564" s="3"/>
      <c r="F564" s="3"/>
    </row>
    <row r="565">
      <c r="A565" s="3"/>
      <c r="B565" s="3"/>
      <c r="C565" s="3"/>
      <c r="E565" s="3"/>
      <c r="F565" s="3"/>
    </row>
    <row r="566">
      <c r="A566" s="3"/>
      <c r="B566" s="3"/>
      <c r="C566" s="3"/>
      <c r="E566" s="3"/>
      <c r="F566" s="3"/>
    </row>
    <row r="567">
      <c r="A567" s="3"/>
      <c r="B567" s="3"/>
      <c r="C567" s="3"/>
      <c r="E567" s="3"/>
      <c r="F567" s="3"/>
    </row>
    <row r="568">
      <c r="A568" s="3"/>
      <c r="B568" s="3"/>
      <c r="C568" s="3"/>
      <c r="E568" s="3"/>
      <c r="F568" s="3"/>
    </row>
    <row r="569">
      <c r="A569" s="3"/>
      <c r="B569" s="3"/>
      <c r="C569" s="3"/>
      <c r="E569" s="3"/>
      <c r="F569" s="3"/>
    </row>
    <row r="570">
      <c r="A570" s="3"/>
      <c r="B570" s="3"/>
      <c r="C570" s="3"/>
      <c r="E570" s="3"/>
      <c r="F570" s="3"/>
    </row>
    <row r="571">
      <c r="A571" s="3"/>
      <c r="B571" s="3"/>
      <c r="C571" s="3"/>
      <c r="E571" s="3"/>
      <c r="F571" s="3"/>
    </row>
    <row r="572">
      <c r="A572" s="3"/>
      <c r="B572" s="3"/>
      <c r="C572" s="3"/>
      <c r="E572" s="3"/>
      <c r="F572" s="3"/>
    </row>
    <row r="573">
      <c r="A573" s="3"/>
      <c r="B573" s="3"/>
      <c r="C573" s="3"/>
      <c r="E573" s="3"/>
      <c r="F573" s="3"/>
    </row>
    <row r="574">
      <c r="A574" s="3"/>
      <c r="B574" s="3"/>
      <c r="C574" s="3"/>
      <c r="E574" s="3"/>
      <c r="F574" s="3"/>
    </row>
    <row r="575">
      <c r="A575" s="3"/>
      <c r="B575" s="3"/>
      <c r="C575" s="3"/>
      <c r="E575" s="3"/>
      <c r="F575" s="3"/>
    </row>
    <row r="576">
      <c r="A576" s="3"/>
      <c r="B576" s="3"/>
      <c r="C576" s="3"/>
      <c r="E576" s="3"/>
      <c r="F576" s="3"/>
    </row>
    <row r="577">
      <c r="A577" s="3"/>
      <c r="B577" s="3"/>
      <c r="C577" s="3"/>
      <c r="E577" s="3"/>
      <c r="F577" s="3"/>
    </row>
    <row r="578">
      <c r="A578" s="3"/>
      <c r="B578" s="3"/>
      <c r="C578" s="3"/>
      <c r="E578" s="3"/>
      <c r="F578" s="3"/>
    </row>
    <row r="579">
      <c r="A579" s="3"/>
      <c r="B579" s="3"/>
      <c r="C579" s="3"/>
      <c r="E579" s="3"/>
      <c r="F579" s="3"/>
    </row>
    <row r="580">
      <c r="A580" s="3"/>
      <c r="B580" s="3"/>
      <c r="C580" s="3"/>
      <c r="E580" s="3"/>
      <c r="F580" s="3"/>
    </row>
    <row r="581">
      <c r="A581" s="3"/>
      <c r="B581" s="3"/>
      <c r="C581" s="3"/>
      <c r="E581" s="3"/>
      <c r="F581" s="3"/>
    </row>
    <row r="582">
      <c r="A582" s="3"/>
      <c r="B582" s="3"/>
      <c r="C582" s="3"/>
      <c r="E582" s="3"/>
      <c r="F582" s="3"/>
    </row>
    <row r="583">
      <c r="A583" s="3"/>
      <c r="B583" s="3"/>
      <c r="C583" s="3"/>
      <c r="E583" s="3"/>
      <c r="F583" s="3"/>
    </row>
    <row r="584">
      <c r="A584" s="3"/>
      <c r="B584" s="3"/>
      <c r="C584" s="3"/>
      <c r="E584" s="3"/>
      <c r="F584" s="3"/>
    </row>
    <row r="585">
      <c r="A585" s="3"/>
      <c r="B585" s="3"/>
      <c r="C585" s="3"/>
      <c r="E585" s="3"/>
      <c r="F585" s="3"/>
    </row>
    <row r="586">
      <c r="A586" s="3"/>
      <c r="B586" s="3"/>
      <c r="C586" s="3"/>
      <c r="E586" s="3"/>
      <c r="F586" s="3"/>
    </row>
    <row r="587">
      <c r="A587" s="3"/>
      <c r="B587" s="3"/>
      <c r="C587" s="3"/>
      <c r="E587" s="3"/>
      <c r="F587" s="3"/>
    </row>
    <row r="588">
      <c r="A588" s="3"/>
      <c r="B588" s="3"/>
      <c r="C588" s="3"/>
      <c r="E588" s="3"/>
      <c r="F588" s="3"/>
    </row>
    <row r="589">
      <c r="A589" s="3"/>
      <c r="B589" s="3"/>
      <c r="C589" s="3"/>
      <c r="E589" s="3"/>
      <c r="F589" s="3"/>
    </row>
    <row r="590">
      <c r="A590" s="3"/>
      <c r="B590" s="3"/>
      <c r="C590" s="3"/>
      <c r="E590" s="3"/>
      <c r="F590" s="3"/>
    </row>
    <row r="591">
      <c r="A591" s="3"/>
      <c r="B591" s="3"/>
      <c r="C591" s="3"/>
      <c r="E591" s="3"/>
      <c r="F591" s="3"/>
    </row>
    <row r="592">
      <c r="A592" s="3"/>
      <c r="B592" s="3"/>
      <c r="C592" s="3"/>
      <c r="E592" s="3"/>
      <c r="F592" s="3"/>
    </row>
    <row r="593">
      <c r="A593" s="3"/>
      <c r="B593" s="3"/>
      <c r="C593" s="3"/>
      <c r="E593" s="3"/>
      <c r="F593" s="3"/>
    </row>
    <row r="594">
      <c r="A594" s="3"/>
      <c r="B594" s="3"/>
      <c r="C594" s="3"/>
      <c r="E594" s="3"/>
      <c r="F594" s="3"/>
    </row>
    <row r="595">
      <c r="A595" s="3"/>
      <c r="B595" s="3"/>
      <c r="C595" s="3"/>
      <c r="E595" s="3"/>
      <c r="F595" s="3"/>
    </row>
    <row r="596">
      <c r="A596" s="3"/>
      <c r="B596" s="3"/>
      <c r="C596" s="3"/>
      <c r="E596" s="3"/>
      <c r="F596" s="3"/>
    </row>
    <row r="597">
      <c r="A597" s="3"/>
      <c r="B597" s="3"/>
      <c r="C597" s="3"/>
      <c r="E597" s="3"/>
      <c r="F597" s="3"/>
    </row>
    <row r="598">
      <c r="A598" s="3"/>
      <c r="B598" s="3"/>
      <c r="C598" s="3"/>
      <c r="E598" s="3"/>
      <c r="F598" s="3"/>
    </row>
    <row r="599">
      <c r="A599" s="3"/>
      <c r="B599" s="3"/>
      <c r="C599" s="3"/>
      <c r="E599" s="3"/>
      <c r="F599" s="3"/>
    </row>
    <row r="600">
      <c r="A600" s="3"/>
      <c r="B600" s="3"/>
      <c r="C600" s="3"/>
      <c r="E600" s="3"/>
      <c r="F600" s="3"/>
    </row>
    <row r="601">
      <c r="A601" s="3"/>
      <c r="B601" s="3"/>
      <c r="C601" s="3"/>
      <c r="E601" s="3"/>
      <c r="F601" s="3"/>
    </row>
    <row r="602">
      <c r="A602" s="3"/>
      <c r="B602" s="3"/>
      <c r="C602" s="3"/>
      <c r="E602" s="3"/>
      <c r="F602" s="3"/>
    </row>
    <row r="603">
      <c r="A603" s="3"/>
      <c r="B603" s="3"/>
      <c r="C603" s="3"/>
      <c r="E603" s="3"/>
      <c r="F603" s="3"/>
    </row>
    <row r="604">
      <c r="A604" s="3"/>
      <c r="B604" s="3"/>
      <c r="C604" s="3"/>
      <c r="E604" s="3"/>
      <c r="F604" s="3"/>
    </row>
    <row r="605">
      <c r="A605" s="3"/>
      <c r="B605" s="3"/>
      <c r="C605" s="3"/>
      <c r="E605" s="3"/>
      <c r="F605" s="3"/>
    </row>
    <row r="606">
      <c r="A606" s="3"/>
      <c r="B606" s="3"/>
      <c r="C606" s="3"/>
      <c r="E606" s="3"/>
      <c r="F606" s="3"/>
    </row>
    <row r="607">
      <c r="A607" s="3"/>
      <c r="B607" s="3"/>
      <c r="C607" s="3"/>
      <c r="E607" s="3"/>
      <c r="F607" s="3"/>
    </row>
    <row r="608">
      <c r="A608" s="3"/>
      <c r="B608" s="3"/>
      <c r="C608" s="3"/>
      <c r="E608" s="3"/>
      <c r="F608" s="3"/>
    </row>
    <row r="609">
      <c r="A609" s="3"/>
      <c r="B609" s="3"/>
      <c r="C609" s="3"/>
      <c r="E609" s="3"/>
      <c r="F609" s="3"/>
    </row>
    <row r="610">
      <c r="A610" s="3"/>
      <c r="B610" s="3"/>
      <c r="C610" s="3"/>
      <c r="E610" s="3"/>
      <c r="F610" s="3"/>
    </row>
    <row r="611">
      <c r="A611" s="3"/>
      <c r="B611" s="3"/>
      <c r="C611" s="3"/>
      <c r="E611" s="3"/>
      <c r="F611" s="3"/>
    </row>
    <row r="612">
      <c r="A612" s="3"/>
      <c r="B612" s="3"/>
      <c r="C612" s="3"/>
      <c r="E612" s="3"/>
      <c r="F612" s="3"/>
    </row>
    <row r="613">
      <c r="A613" s="3"/>
      <c r="B613" s="3"/>
      <c r="C613" s="3"/>
      <c r="E613" s="3"/>
      <c r="F613" s="3"/>
    </row>
    <row r="614">
      <c r="A614" s="3"/>
      <c r="B614" s="3"/>
      <c r="C614" s="3"/>
      <c r="E614" s="3"/>
      <c r="F614" s="3"/>
    </row>
    <row r="615">
      <c r="A615" s="3"/>
      <c r="B615" s="3"/>
      <c r="C615" s="3"/>
      <c r="E615" s="3"/>
      <c r="F615" s="3"/>
    </row>
    <row r="616">
      <c r="A616" s="3"/>
      <c r="B616" s="3"/>
      <c r="C616" s="3"/>
      <c r="E616" s="3"/>
      <c r="F616" s="3"/>
    </row>
    <row r="617">
      <c r="A617" s="3"/>
      <c r="B617" s="3"/>
      <c r="C617" s="3"/>
      <c r="E617" s="3"/>
      <c r="F617" s="3"/>
    </row>
    <row r="618">
      <c r="A618" s="3"/>
      <c r="B618" s="3"/>
      <c r="C618" s="3"/>
      <c r="E618" s="3"/>
      <c r="F618" s="3"/>
    </row>
    <row r="619">
      <c r="A619" s="3"/>
      <c r="B619" s="3"/>
      <c r="C619" s="3"/>
      <c r="E619" s="3"/>
      <c r="F619" s="3"/>
    </row>
    <row r="620">
      <c r="A620" s="3"/>
      <c r="B620" s="3"/>
      <c r="C620" s="3"/>
      <c r="E620" s="3"/>
      <c r="F620" s="3"/>
    </row>
    <row r="621">
      <c r="A621" s="3"/>
      <c r="B621" s="3"/>
      <c r="C621" s="3"/>
      <c r="E621" s="3"/>
      <c r="F621" s="3"/>
    </row>
    <row r="622">
      <c r="A622" s="3"/>
      <c r="B622" s="3"/>
      <c r="C622" s="3"/>
      <c r="E622" s="3"/>
      <c r="F622" s="3"/>
    </row>
    <row r="623">
      <c r="A623" s="3"/>
      <c r="B623" s="3"/>
      <c r="C623" s="3"/>
      <c r="E623" s="3"/>
      <c r="F623" s="3"/>
    </row>
    <row r="624">
      <c r="A624" s="3"/>
      <c r="B624" s="3"/>
      <c r="C624" s="3"/>
      <c r="E624" s="3"/>
      <c r="F624" s="3"/>
    </row>
    <row r="625">
      <c r="A625" s="3"/>
      <c r="B625" s="3"/>
      <c r="C625" s="3"/>
      <c r="E625" s="3"/>
      <c r="F625" s="3"/>
    </row>
    <row r="626">
      <c r="A626" s="3"/>
      <c r="B626" s="3"/>
      <c r="C626" s="3"/>
      <c r="E626" s="3"/>
      <c r="F626" s="3"/>
    </row>
    <row r="627">
      <c r="A627" s="3"/>
      <c r="B627" s="3"/>
      <c r="C627" s="3"/>
      <c r="E627" s="3"/>
      <c r="F627" s="3"/>
    </row>
    <row r="628">
      <c r="A628" s="3"/>
      <c r="B628" s="3"/>
      <c r="C628" s="3"/>
      <c r="E628" s="3"/>
      <c r="F628" s="3"/>
    </row>
    <row r="629">
      <c r="A629" s="3"/>
      <c r="B629" s="3"/>
      <c r="C629" s="3"/>
      <c r="E629" s="3"/>
      <c r="F629" s="3"/>
    </row>
    <row r="630">
      <c r="A630" s="3"/>
      <c r="B630" s="3"/>
      <c r="C630" s="3"/>
      <c r="E630" s="3"/>
      <c r="F630" s="3"/>
    </row>
    <row r="631">
      <c r="A631" s="3"/>
      <c r="B631" s="3"/>
      <c r="C631" s="3"/>
      <c r="E631" s="3"/>
      <c r="F631" s="3"/>
    </row>
    <row r="632">
      <c r="A632" s="3"/>
      <c r="B632" s="3"/>
      <c r="C632" s="3"/>
      <c r="E632" s="3"/>
      <c r="F632" s="3"/>
    </row>
    <row r="633">
      <c r="A633" s="3"/>
      <c r="B633" s="3"/>
      <c r="C633" s="3"/>
      <c r="E633" s="3"/>
      <c r="F633" s="3"/>
    </row>
    <row r="634">
      <c r="A634" s="3"/>
      <c r="B634" s="3"/>
      <c r="C634" s="3"/>
      <c r="E634" s="3"/>
      <c r="F634" s="3"/>
    </row>
    <row r="635">
      <c r="A635" s="3"/>
      <c r="B635" s="3"/>
      <c r="C635" s="3"/>
      <c r="E635" s="3"/>
      <c r="F635" s="3"/>
    </row>
    <row r="636">
      <c r="A636" s="3"/>
      <c r="B636" s="3"/>
      <c r="C636" s="3"/>
      <c r="E636" s="3"/>
      <c r="F636" s="3"/>
    </row>
    <row r="637">
      <c r="A637" s="3"/>
      <c r="B637" s="3"/>
      <c r="C637" s="3"/>
      <c r="E637" s="3"/>
      <c r="F637" s="3"/>
    </row>
    <row r="638">
      <c r="A638" s="3"/>
      <c r="B638" s="3"/>
      <c r="C638" s="3"/>
      <c r="E638" s="3"/>
      <c r="F638" s="3"/>
    </row>
    <row r="639">
      <c r="A639" s="3"/>
      <c r="B639" s="3"/>
      <c r="C639" s="3"/>
      <c r="E639" s="3"/>
      <c r="F639" s="3"/>
    </row>
    <row r="640">
      <c r="A640" s="3"/>
      <c r="B640" s="3"/>
      <c r="C640" s="3"/>
      <c r="E640" s="3"/>
      <c r="F640" s="3"/>
    </row>
    <row r="641">
      <c r="A641" s="3"/>
      <c r="B641" s="3"/>
      <c r="C641" s="3"/>
      <c r="E641" s="3"/>
      <c r="F641" s="3"/>
    </row>
    <row r="642">
      <c r="A642" s="3"/>
      <c r="B642" s="3"/>
      <c r="C642" s="3"/>
      <c r="E642" s="3"/>
      <c r="F642" s="3"/>
    </row>
    <row r="643">
      <c r="A643" s="3"/>
      <c r="B643" s="3"/>
      <c r="C643" s="3"/>
      <c r="E643" s="3"/>
      <c r="F643" s="3"/>
    </row>
    <row r="644">
      <c r="A644" s="3"/>
      <c r="B644" s="3"/>
      <c r="C644" s="3"/>
      <c r="E644" s="3"/>
      <c r="F644" s="3"/>
    </row>
    <row r="645">
      <c r="A645" s="3"/>
      <c r="B645" s="3"/>
      <c r="C645" s="3"/>
      <c r="E645" s="3"/>
      <c r="F645" s="3"/>
    </row>
    <row r="646">
      <c r="A646" s="3"/>
      <c r="B646" s="3"/>
      <c r="C646" s="3"/>
      <c r="E646" s="3"/>
      <c r="F646" s="3"/>
    </row>
    <row r="647">
      <c r="A647" s="3"/>
      <c r="B647" s="3"/>
      <c r="C647" s="3"/>
      <c r="E647" s="3"/>
      <c r="F647" s="3"/>
    </row>
    <row r="648">
      <c r="A648" s="3"/>
      <c r="B648" s="3"/>
      <c r="C648" s="3"/>
      <c r="E648" s="3"/>
      <c r="F648" s="3"/>
    </row>
    <row r="649">
      <c r="A649" s="3"/>
      <c r="B649" s="3"/>
      <c r="C649" s="3"/>
      <c r="E649" s="3"/>
      <c r="F649" s="3"/>
    </row>
    <row r="650">
      <c r="A650" s="3"/>
      <c r="B650" s="3"/>
      <c r="C650" s="3"/>
      <c r="E650" s="3"/>
      <c r="F650" s="3"/>
    </row>
    <row r="651">
      <c r="A651" s="3"/>
      <c r="B651" s="3"/>
      <c r="C651" s="3"/>
      <c r="E651" s="3"/>
      <c r="F651" s="3"/>
    </row>
    <row r="652">
      <c r="A652" s="3"/>
      <c r="B652" s="3"/>
      <c r="C652" s="3"/>
      <c r="E652" s="3"/>
      <c r="F652" s="3"/>
    </row>
    <row r="653">
      <c r="A653" s="3"/>
      <c r="B653" s="3"/>
      <c r="C653" s="3"/>
      <c r="E653" s="3"/>
      <c r="F653" s="3"/>
    </row>
    <row r="654">
      <c r="A654" s="3"/>
      <c r="B654" s="3"/>
      <c r="C654" s="3"/>
      <c r="E654" s="3"/>
      <c r="F654" s="3"/>
    </row>
    <row r="655">
      <c r="A655" s="3"/>
      <c r="B655" s="3"/>
      <c r="C655" s="3"/>
      <c r="E655" s="3"/>
      <c r="F655" s="3"/>
    </row>
    <row r="656">
      <c r="A656" s="3"/>
      <c r="B656" s="3"/>
      <c r="C656" s="3"/>
      <c r="E656" s="3"/>
      <c r="F656" s="3"/>
    </row>
    <row r="657">
      <c r="A657" s="3"/>
      <c r="B657" s="3"/>
      <c r="C657" s="3"/>
      <c r="E657" s="3"/>
      <c r="F657" s="3"/>
    </row>
    <row r="658">
      <c r="A658" s="3"/>
      <c r="B658" s="3"/>
      <c r="C658" s="3"/>
      <c r="E658" s="3"/>
      <c r="F658" s="3"/>
    </row>
    <row r="659">
      <c r="A659" s="3"/>
      <c r="B659" s="3"/>
      <c r="C659" s="3"/>
      <c r="E659" s="3"/>
      <c r="F659" s="3"/>
    </row>
    <row r="660">
      <c r="A660" s="3"/>
      <c r="B660" s="3"/>
      <c r="C660" s="3"/>
      <c r="E660" s="3"/>
      <c r="F660" s="3"/>
    </row>
    <row r="661">
      <c r="A661" s="3"/>
      <c r="B661" s="3"/>
      <c r="C661" s="3"/>
      <c r="E661" s="3"/>
      <c r="F661" s="3"/>
    </row>
    <row r="662">
      <c r="A662" s="3"/>
      <c r="B662" s="3"/>
      <c r="C662" s="3"/>
      <c r="E662" s="3"/>
      <c r="F662" s="3"/>
    </row>
    <row r="663">
      <c r="A663" s="3"/>
      <c r="B663" s="3"/>
      <c r="C663" s="3"/>
      <c r="E663" s="3"/>
      <c r="F663" s="3"/>
    </row>
    <row r="664">
      <c r="A664" s="3"/>
      <c r="B664" s="3"/>
      <c r="C664" s="3"/>
      <c r="E664" s="3"/>
      <c r="F664" s="3"/>
    </row>
    <row r="665">
      <c r="A665" s="3"/>
      <c r="B665" s="3"/>
      <c r="C665" s="3"/>
      <c r="E665" s="3"/>
      <c r="F665" s="3"/>
    </row>
    <row r="666">
      <c r="A666" s="3"/>
      <c r="B666" s="3"/>
      <c r="C666" s="3"/>
      <c r="E666" s="3"/>
      <c r="F666" s="3"/>
    </row>
    <row r="667">
      <c r="A667" s="3"/>
      <c r="B667" s="3"/>
      <c r="C667" s="3"/>
      <c r="E667" s="3"/>
      <c r="F667" s="3"/>
    </row>
    <row r="668">
      <c r="A668" s="3"/>
      <c r="B668" s="3"/>
      <c r="C668" s="3"/>
      <c r="E668" s="3"/>
      <c r="F668" s="3"/>
    </row>
    <row r="669">
      <c r="A669" s="3"/>
      <c r="B669" s="3"/>
      <c r="C669" s="3"/>
      <c r="E669" s="3"/>
      <c r="F669" s="3"/>
    </row>
    <row r="670">
      <c r="A670" s="3"/>
      <c r="B670" s="3"/>
      <c r="C670" s="3"/>
      <c r="E670" s="3"/>
      <c r="F670" s="3"/>
    </row>
    <row r="671">
      <c r="A671" s="3"/>
      <c r="B671" s="3"/>
      <c r="C671" s="3"/>
      <c r="E671" s="3"/>
      <c r="F671" s="3"/>
    </row>
    <row r="672">
      <c r="A672" s="3"/>
      <c r="B672" s="3"/>
      <c r="C672" s="3"/>
      <c r="E672" s="3"/>
      <c r="F672" s="3"/>
    </row>
    <row r="673">
      <c r="A673" s="3"/>
      <c r="B673" s="3"/>
      <c r="C673" s="3"/>
      <c r="E673" s="3"/>
      <c r="F673" s="3"/>
    </row>
    <row r="674">
      <c r="A674" s="3"/>
      <c r="B674" s="3"/>
      <c r="C674" s="3"/>
      <c r="E674" s="3"/>
      <c r="F674" s="3"/>
    </row>
    <row r="675">
      <c r="A675" s="3"/>
      <c r="B675" s="3"/>
      <c r="C675" s="3"/>
      <c r="E675" s="3"/>
      <c r="F675" s="3"/>
    </row>
    <row r="676">
      <c r="A676" s="3"/>
      <c r="B676" s="3"/>
      <c r="C676" s="3"/>
      <c r="E676" s="3"/>
      <c r="F676" s="3"/>
    </row>
    <row r="677">
      <c r="A677" s="3"/>
      <c r="B677" s="3"/>
      <c r="C677" s="3"/>
      <c r="E677" s="3"/>
      <c r="F677" s="3"/>
    </row>
    <row r="678">
      <c r="A678" s="3"/>
      <c r="B678" s="3"/>
      <c r="C678" s="3"/>
      <c r="E678" s="3"/>
      <c r="F678" s="3"/>
    </row>
    <row r="679">
      <c r="A679" s="3"/>
      <c r="B679" s="3"/>
      <c r="C679" s="3"/>
      <c r="E679" s="3"/>
      <c r="F679" s="3"/>
    </row>
    <row r="680">
      <c r="A680" s="3"/>
      <c r="B680" s="3"/>
      <c r="C680" s="3"/>
      <c r="E680" s="3"/>
      <c r="F680" s="3"/>
    </row>
    <row r="681">
      <c r="A681" s="3"/>
      <c r="B681" s="3"/>
      <c r="C681" s="3"/>
      <c r="E681" s="3"/>
      <c r="F681" s="3"/>
    </row>
    <row r="682">
      <c r="A682" s="3"/>
      <c r="B682" s="3"/>
      <c r="C682" s="3"/>
      <c r="E682" s="3"/>
      <c r="F682" s="3"/>
    </row>
    <row r="683">
      <c r="A683" s="3"/>
      <c r="B683" s="3"/>
      <c r="C683" s="3"/>
      <c r="E683" s="3"/>
      <c r="F683" s="3"/>
    </row>
    <row r="684">
      <c r="A684" s="3"/>
      <c r="B684" s="3"/>
      <c r="C684" s="3"/>
      <c r="E684" s="3"/>
      <c r="F684" s="3"/>
    </row>
    <row r="685">
      <c r="A685" s="3"/>
      <c r="B685" s="3"/>
      <c r="C685" s="3"/>
      <c r="E685" s="3"/>
      <c r="F685" s="3"/>
    </row>
    <row r="686">
      <c r="A686" s="3"/>
      <c r="B686" s="3"/>
      <c r="C686" s="3"/>
      <c r="E686" s="3"/>
      <c r="F686" s="3"/>
    </row>
    <row r="687">
      <c r="A687" s="3"/>
      <c r="B687" s="3"/>
      <c r="C687" s="3"/>
      <c r="E687" s="3"/>
      <c r="F687" s="3"/>
    </row>
    <row r="688">
      <c r="A688" s="3"/>
      <c r="B688" s="3"/>
      <c r="C688" s="3"/>
      <c r="E688" s="3"/>
      <c r="F688" s="3"/>
    </row>
    <row r="689">
      <c r="A689" s="3"/>
      <c r="B689" s="3"/>
      <c r="C689" s="3"/>
      <c r="E689" s="3"/>
      <c r="F689" s="3"/>
    </row>
    <row r="690">
      <c r="A690" s="3"/>
      <c r="B690" s="3"/>
      <c r="C690" s="3"/>
      <c r="E690" s="3"/>
      <c r="F690" s="3"/>
    </row>
    <row r="691">
      <c r="A691" s="3"/>
      <c r="B691" s="3"/>
      <c r="C691" s="3"/>
      <c r="E691" s="3"/>
      <c r="F691" s="3"/>
    </row>
    <row r="692">
      <c r="A692" s="3"/>
      <c r="B692" s="3"/>
      <c r="C692" s="3"/>
      <c r="E692" s="3"/>
      <c r="F692" s="3"/>
    </row>
    <row r="693">
      <c r="A693" s="3"/>
      <c r="B693" s="3"/>
      <c r="C693" s="3"/>
      <c r="E693" s="3"/>
      <c r="F693" s="3"/>
    </row>
    <row r="694">
      <c r="A694" s="3"/>
      <c r="B694" s="3"/>
      <c r="C694" s="3"/>
      <c r="E694" s="3"/>
      <c r="F694" s="3"/>
    </row>
    <row r="695">
      <c r="A695" s="3"/>
      <c r="B695" s="3"/>
      <c r="C695" s="3"/>
      <c r="E695" s="3"/>
      <c r="F695" s="3"/>
    </row>
    <row r="696">
      <c r="A696" s="3"/>
      <c r="B696" s="3"/>
      <c r="C696" s="3"/>
      <c r="E696" s="3"/>
      <c r="F696" s="3"/>
    </row>
    <row r="697">
      <c r="A697" s="3"/>
      <c r="B697" s="3"/>
      <c r="C697" s="3"/>
      <c r="E697" s="3"/>
      <c r="F697" s="3"/>
    </row>
    <row r="698">
      <c r="A698" s="3"/>
      <c r="B698" s="3"/>
      <c r="C698" s="3"/>
      <c r="E698" s="3"/>
      <c r="F698" s="3"/>
    </row>
    <row r="699">
      <c r="A699" s="3"/>
      <c r="B699" s="3"/>
      <c r="C699" s="3"/>
      <c r="E699" s="3"/>
      <c r="F699" s="3"/>
    </row>
    <row r="700">
      <c r="A700" s="3"/>
      <c r="B700" s="3"/>
      <c r="C700" s="3"/>
      <c r="E700" s="3"/>
      <c r="F700" s="3"/>
    </row>
    <row r="701">
      <c r="A701" s="3"/>
      <c r="B701" s="3"/>
      <c r="C701" s="3"/>
      <c r="E701" s="3"/>
      <c r="F701" s="3"/>
    </row>
    <row r="702">
      <c r="A702" s="3"/>
      <c r="B702" s="3"/>
      <c r="C702" s="3"/>
      <c r="E702" s="3"/>
      <c r="F702" s="3"/>
    </row>
    <row r="703">
      <c r="A703" s="3"/>
      <c r="B703" s="3"/>
      <c r="C703" s="3"/>
      <c r="E703" s="3"/>
      <c r="F703" s="3"/>
    </row>
    <row r="704">
      <c r="A704" s="3"/>
      <c r="B704" s="3"/>
      <c r="C704" s="3"/>
      <c r="E704" s="3"/>
      <c r="F704" s="3"/>
    </row>
    <row r="705">
      <c r="A705" s="3"/>
      <c r="B705" s="3"/>
      <c r="C705" s="3"/>
      <c r="E705" s="3"/>
      <c r="F705" s="3"/>
    </row>
    <row r="706">
      <c r="A706" s="3"/>
      <c r="B706" s="3"/>
      <c r="C706" s="3"/>
      <c r="E706" s="3"/>
      <c r="F706" s="3"/>
    </row>
    <row r="707">
      <c r="A707" s="3"/>
      <c r="B707" s="3"/>
      <c r="C707" s="3"/>
      <c r="E707" s="3"/>
      <c r="F707" s="3"/>
    </row>
    <row r="708">
      <c r="A708" s="3"/>
      <c r="B708" s="3"/>
      <c r="C708" s="3"/>
      <c r="E708" s="3"/>
      <c r="F708" s="3"/>
    </row>
    <row r="709">
      <c r="A709" s="3"/>
      <c r="B709" s="3"/>
      <c r="C709" s="3"/>
      <c r="E709" s="3"/>
      <c r="F709" s="3"/>
    </row>
    <row r="710">
      <c r="A710" s="3"/>
      <c r="B710" s="3"/>
      <c r="C710" s="3"/>
      <c r="E710" s="3"/>
      <c r="F710" s="3"/>
    </row>
    <row r="711">
      <c r="A711" s="3"/>
      <c r="B711" s="3"/>
      <c r="C711" s="3"/>
      <c r="E711" s="3"/>
      <c r="F711" s="3"/>
    </row>
    <row r="712">
      <c r="A712" s="3"/>
      <c r="B712" s="3"/>
      <c r="C712" s="3"/>
      <c r="E712" s="3"/>
      <c r="F712" s="3"/>
    </row>
    <row r="713">
      <c r="A713" s="3"/>
      <c r="B713" s="3"/>
      <c r="C713" s="3"/>
      <c r="E713" s="3"/>
      <c r="F713" s="3"/>
    </row>
    <row r="714">
      <c r="A714" s="3"/>
      <c r="B714" s="3"/>
      <c r="C714" s="3"/>
      <c r="E714" s="3"/>
      <c r="F714" s="3"/>
    </row>
    <row r="715">
      <c r="A715" s="3"/>
      <c r="B715" s="3"/>
      <c r="C715" s="3"/>
      <c r="E715" s="3"/>
      <c r="F715" s="3"/>
    </row>
    <row r="716">
      <c r="A716" s="3"/>
      <c r="B716" s="3"/>
      <c r="C716" s="3"/>
      <c r="E716" s="3"/>
      <c r="F716" s="3"/>
    </row>
    <row r="717">
      <c r="A717" s="3"/>
      <c r="B717" s="3"/>
      <c r="C717" s="3"/>
      <c r="E717" s="3"/>
      <c r="F717" s="3"/>
    </row>
    <row r="718">
      <c r="A718" s="3"/>
      <c r="B718" s="3"/>
      <c r="C718" s="3"/>
      <c r="E718" s="3"/>
      <c r="F718" s="3"/>
    </row>
    <row r="719">
      <c r="A719" s="3"/>
      <c r="B719" s="3"/>
      <c r="C719" s="3"/>
      <c r="E719" s="3"/>
      <c r="F719" s="3"/>
    </row>
    <row r="720">
      <c r="A720" s="3"/>
      <c r="B720" s="3"/>
      <c r="C720" s="3"/>
      <c r="E720" s="3"/>
      <c r="F720" s="3"/>
    </row>
    <row r="721">
      <c r="A721" s="3"/>
      <c r="B721" s="3"/>
      <c r="C721" s="3"/>
      <c r="E721" s="3"/>
      <c r="F721" s="3"/>
    </row>
    <row r="722">
      <c r="A722" s="3"/>
      <c r="B722" s="3"/>
      <c r="C722" s="3"/>
      <c r="E722" s="3"/>
      <c r="F722" s="3"/>
    </row>
    <row r="723">
      <c r="A723" s="3"/>
      <c r="B723" s="3"/>
      <c r="C723" s="3"/>
      <c r="E723" s="3"/>
      <c r="F723" s="3"/>
    </row>
    <row r="724">
      <c r="A724" s="3"/>
      <c r="B724" s="3"/>
      <c r="C724" s="3"/>
      <c r="E724" s="3"/>
      <c r="F724" s="3"/>
    </row>
    <row r="725">
      <c r="A725" s="3"/>
      <c r="B725" s="3"/>
      <c r="C725" s="3"/>
      <c r="E725" s="3"/>
      <c r="F725" s="3"/>
    </row>
    <row r="726">
      <c r="A726" s="3"/>
      <c r="B726" s="3"/>
      <c r="C726" s="3"/>
      <c r="E726" s="3"/>
      <c r="F726" s="3"/>
    </row>
    <row r="727">
      <c r="A727" s="3"/>
      <c r="B727" s="3"/>
      <c r="C727" s="3"/>
      <c r="E727" s="3"/>
      <c r="F727" s="3"/>
    </row>
    <row r="728">
      <c r="A728" s="3"/>
      <c r="B728" s="3"/>
      <c r="C728" s="3"/>
      <c r="E728" s="3"/>
      <c r="F728" s="3"/>
    </row>
    <row r="729">
      <c r="A729" s="3"/>
      <c r="B729" s="3"/>
      <c r="C729" s="3"/>
      <c r="E729" s="3"/>
      <c r="F729" s="3"/>
    </row>
    <row r="730">
      <c r="A730" s="3"/>
      <c r="B730" s="3"/>
      <c r="C730" s="3"/>
      <c r="E730" s="3"/>
      <c r="F730" s="3"/>
    </row>
    <row r="731">
      <c r="A731" s="3"/>
      <c r="B731" s="3"/>
      <c r="C731" s="3"/>
      <c r="E731" s="3"/>
      <c r="F731" s="3"/>
    </row>
    <row r="732">
      <c r="A732" s="3"/>
      <c r="B732" s="3"/>
      <c r="C732" s="3"/>
      <c r="E732" s="3"/>
      <c r="F732" s="3"/>
    </row>
    <row r="733">
      <c r="A733" s="3"/>
      <c r="B733" s="3"/>
      <c r="C733" s="3"/>
      <c r="E733" s="3"/>
      <c r="F733" s="3"/>
    </row>
    <row r="734">
      <c r="A734" s="3"/>
      <c r="B734" s="3"/>
      <c r="C734" s="3"/>
      <c r="E734" s="3"/>
      <c r="F734" s="3"/>
    </row>
    <row r="735">
      <c r="A735" s="3"/>
      <c r="B735" s="3"/>
      <c r="C735" s="3"/>
      <c r="E735" s="3"/>
      <c r="F735" s="3"/>
    </row>
    <row r="736">
      <c r="A736" s="3"/>
      <c r="B736" s="3"/>
      <c r="C736" s="3"/>
      <c r="E736" s="3"/>
      <c r="F736" s="3"/>
    </row>
    <row r="737">
      <c r="A737" s="3"/>
      <c r="B737" s="3"/>
      <c r="C737" s="3"/>
      <c r="E737" s="3"/>
      <c r="F737" s="3"/>
    </row>
    <row r="738">
      <c r="A738" s="3"/>
      <c r="B738" s="3"/>
      <c r="C738" s="3"/>
      <c r="E738" s="3"/>
      <c r="F738" s="3"/>
    </row>
    <row r="739">
      <c r="A739" s="3"/>
      <c r="B739" s="3"/>
      <c r="C739" s="3"/>
      <c r="E739" s="3"/>
      <c r="F739" s="3"/>
    </row>
    <row r="740">
      <c r="A740" s="3"/>
      <c r="B740" s="3"/>
      <c r="C740" s="3"/>
      <c r="E740" s="3"/>
      <c r="F740" s="3"/>
    </row>
    <row r="741">
      <c r="A741" s="3"/>
      <c r="B741" s="3"/>
      <c r="C741" s="3"/>
      <c r="E741" s="3"/>
      <c r="F741" s="3"/>
    </row>
    <row r="742">
      <c r="A742" s="3"/>
      <c r="B742" s="3"/>
      <c r="C742" s="3"/>
      <c r="E742" s="3"/>
      <c r="F742" s="3"/>
    </row>
    <row r="743">
      <c r="A743" s="3"/>
      <c r="B743" s="3"/>
      <c r="C743" s="3"/>
      <c r="E743" s="3"/>
      <c r="F743" s="3"/>
    </row>
    <row r="744">
      <c r="A744" s="3"/>
      <c r="B744" s="3"/>
      <c r="C744" s="3"/>
      <c r="E744" s="3"/>
      <c r="F744" s="3"/>
    </row>
    <row r="745">
      <c r="A745" s="3"/>
      <c r="B745" s="3"/>
      <c r="C745" s="3"/>
      <c r="E745" s="3"/>
      <c r="F745" s="3"/>
    </row>
    <row r="746">
      <c r="A746" s="3"/>
      <c r="B746" s="3"/>
      <c r="C746" s="3"/>
      <c r="E746" s="3"/>
      <c r="F746" s="3"/>
    </row>
    <row r="747">
      <c r="A747" s="3"/>
      <c r="B747" s="3"/>
      <c r="C747" s="3"/>
      <c r="E747" s="3"/>
      <c r="F747" s="3"/>
    </row>
    <row r="748">
      <c r="A748" s="3"/>
      <c r="B748" s="3"/>
      <c r="C748" s="3"/>
      <c r="E748" s="3"/>
      <c r="F748" s="3"/>
    </row>
    <row r="749">
      <c r="A749" s="3"/>
      <c r="B749" s="3"/>
      <c r="C749" s="3"/>
      <c r="E749" s="3"/>
      <c r="F749" s="3"/>
    </row>
    <row r="750">
      <c r="A750" s="3"/>
      <c r="B750" s="3"/>
      <c r="C750" s="3"/>
      <c r="E750" s="3"/>
      <c r="F750" s="3"/>
    </row>
    <row r="751">
      <c r="A751" s="3"/>
      <c r="B751" s="3"/>
      <c r="C751" s="3"/>
      <c r="E751" s="3"/>
      <c r="F751" s="3"/>
    </row>
    <row r="752">
      <c r="A752" s="3"/>
      <c r="B752" s="3"/>
      <c r="C752" s="3"/>
      <c r="E752" s="3"/>
      <c r="F752" s="3"/>
    </row>
    <row r="753">
      <c r="A753" s="3"/>
      <c r="B753" s="3"/>
      <c r="C753" s="3"/>
      <c r="E753" s="3"/>
      <c r="F753" s="3"/>
    </row>
    <row r="754">
      <c r="A754" s="3"/>
      <c r="B754" s="3"/>
      <c r="C754" s="3"/>
      <c r="E754" s="3"/>
      <c r="F754" s="3"/>
    </row>
    <row r="755">
      <c r="A755" s="3"/>
      <c r="B755" s="3"/>
      <c r="C755" s="3"/>
      <c r="E755" s="3"/>
      <c r="F755" s="3"/>
    </row>
    <row r="756">
      <c r="A756" s="3"/>
      <c r="B756" s="3"/>
      <c r="C756" s="3"/>
      <c r="E756" s="3"/>
      <c r="F756" s="3"/>
    </row>
    <row r="757">
      <c r="A757" s="3"/>
      <c r="B757" s="3"/>
      <c r="C757" s="3"/>
      <c r="E757" s="3"/>
      <c r="F757" s="3"/>
    </row>
    <row r="758">
      <c r="A758" s="3"/>
      <c r="B758" s="3"/>
      <c r="C758" s="3"/>
      <c r="E758" s="3"/>
      <c r="F758" s="3"/>
    </row>
    <row r="759">
      <c r="A759" s="3"/>
      <c r="B759" s="3"/>
      <c r="C759" s="3"/>
      <c r="E759" s="3"/>
      <c r="F759" s="3"/>
    </row>
    <row r="760">
      <c r="A760" s="3"/>
      <c r="B760" s="3"/>
      <c r="C760" s="3"/>
      <c r="E760" s="3"/>
      <c r="F760" s="3"/>
    </row>
    <row r="761">
      <c r="A761" s="3"/>
      <c r="B761" s="3"/>
      <c r="C761" s="3"/>
      <c r="E761" s="3"/>
      <c r="F761" s="3"/>
    </row>
    <row r="762">
      <c r="A762" s="3"/>
      <c r="B762" s="3"/>
      <c r="C762" s="3"/>
      <c r="E762" s="3"/>
      <c r="F762" s="3"/>
    </row>
    <row r="763">
      <c r="A763" s="3"/>
      <c r="B763" s="3"/>
      <c r="C763" s="3"/>
      <c r="E763" s="3"/>
      <c r="F763" s="3"/>
    </row>
    <row r="764">
      <c r="A764" s="3"/>
      <c r="B764" s="3"/>
      <c r="C764" s="3"/>
      <c r="E764" s="3"/>
      <c r="F764" s="3"/>
    </row>
    <row r="765">
      <c r="A765" s="3"/>
      <c r="B765" s="3"/>
      <c r="C765" s="3"/>
      <c r="E765" s="3"/>
      <c r="F765" s="3"/>
    </row>
    <row r="766">
      <c r="A766" s="3"/>
      <c r="B766" s="3"/>
      <c r="C766" s="3"/>
      <c r="E766" s="3"/>
      <c r="F766" s="3"/>
    </row>
    <row r="767">
      <c r="A767" s="3"/>
      <c r="B767" s="3"/>
      <c r="C767" s="3"/>
      <c r="E767" s="3"/>
      <c r="F767" s="3"/>
    </row>
    <row r="768">
      <c r="A768" s="3"/>
      <c r="B768" s="3"/>
      <c r="C768" s="3"/>
      <c r="E768" s="3"/>
      <c r="F768" s="3"/>
    </row>
    <row r="769">
      <c r="A769" s="3"/>
      <c r="B769" s="3"/>
      <c r="C769" s="3"/>
      <c r="E769" s="3"/>
      <c r="F769" s="3"/>
    </row>
    <row r="770">
      <c r="A770" s="3"/>
      <c r="B770" s="3"/>
      <c r="C770" s="3"/>
      <c r="E770" s="3"/>
      <c r="F770" s="3"/>
    </row>
    <row r="771">
      <c r="A771" s="3"/>
      <c r="B771" s="3"/>
      <c r="C771" s="3"/>
      <c r="E771" s="3"/>
      <c r="F771" s="3"/>
    </row>
    <row r="772">
      <c r="A772" s="3"/>
      <c r="B772" s="3"/>
      <c r="C772" s="3"/>
      <c r="E772" s="3"/>
      <c r="F772" s="3"/>
    </row>
    <row r="773">
      <c r="A773" s="3"/>
      <c r="B773" s="3"/>
      <c r="C773" s="3"/>
      <c r="E773" s="3"/>
      <c r="F773" s="3"/>
    </row>
    <row r="774">
      <c r="A774" s="3"/>
      <c r="B774" s="3"/>
      <c r="C774" s="3"/>
      <c r="E774" s="3"/>
      <c r="F774" s="3"/>
    </row>
    <row r="775">
      <c r="A775" s="3"/>
      <c r="B775" s="3"/>
      <c r="C775" s="3"/>
      <c r="E775" s="3"/>
      <c r="F775" s="3"/>
    </row>
    <row r="776">
      <c r="A776" s="3"/>
      <c r="B776" s="3"/>
      <c r="C776" s="3"/>
      <c r="E776" s="3"/>
      <c r="F776" s="3"/>
    </row>
    <row r="777">
      <c r="A777" s="3"/>
      <c r="B777" s="3"/>
      <c r="C777" s="3"/>
      <c r="E777" s="3"/>
      <c r="F777" s="3"/>
    </row>
    <row r="778">
      <c r="A778" s="3"/>
      <c r="B778" s="3"/>
      <c r="C778" s="3"/>
      <c r="E778" s="3"/>
      <c r="F778" s="3"/>
    </row>
    <row r="779">
      <c r="A779" s="3"/>
      <c r="B779" s="3"/>
      <c r="C779" s="3"/>
      <c r="E779" s="3"/>
      <c r="F779" s="3"/>
    </row>
    <row r="780">
      <c r="A780" s="3"/>
      <c r="B780" s="3"/>
      <c r="C780" s="3"/>
      <c r="E780" s="3"/>
      <c r="F780" s="3"/>
    </row>
    <row r="781">
      <c r="A781" s="3"/>
      <c r="B781" s="3"/>
      <c r="C781" s="3"/>
      <c r="E781" s="3"/>
      <c r="F781" s="3"/>
    </row>
    <row r="782">
      <c r="A782" s="3"/>
      <c r="B782" s="3"/>
      <c r="C782" s="3"/>
      <c r="E782" s="3"/>
      <c r="F782" s="3"/>
    </row>
    <row r="783">
      <c r="A783" s="3"/>
      <c r="B783" s="3"/>
      <c r="C783" s="3"/>
      <c r="E783" s="3"/>
      <c r="F783" s="3"/>
    </row>
    <row r="784">
      <c r="A784" s="3"/>
      <c r="B784" s="3"/>
      <c r="C784" s="3"/>
      <c r="E784" s="3"/>
      <c r="F784" s="3"/>
    </row>
    <row r="785">
      <c r="A785" s="3"/>
      <c r="B785" s="3"/>
      <c r="C785" s="3"/>
      <c r="E785" s="3"/>
      <c r="F785" s="3"/>
    </row>
    <row r="786">
      <c r="A786" s="3"/>
      <c r="B786" s="3"/>
      <c r="C786" s="3"/>
      <c r="E786" s="3"/>
      <c r="F786" s="3"/>
    </row>
    <row r="787">
      <c r="A787" s="3"/>
      <c r="B787" s="3"/>
      <c r="C787" s="3"/>
      <c r="E787" s="3"/>
      <c r="F787" s="3"/>
    </row>
    <row r="788">
      <c r="A788" s="3"/>
      <c r="B788" s="3"/>
      <c r="C788" s="3"/>
      <c r="E788" s="3"/>
      <c r="F788" s="3"/>
    </row>
    <row r="789">
      <c r="A789" s="3"/>
      <c r="B789" s="3"/>
      <c r="C789" s="3"/>
      <c r="E789" s="3"/>
      <c r="F789" s="3"/>
    </row>
    <row r="790">
      <c r="A790" s="3"/>
      <c r="B790" s="3"/>
      <c r="C790" s="3"/>
      <c r="E790" s="3"/>
      <c r="F790" s="3"/>
    </row>
    <row r="791">
      <c r="A791" s="3"/>
      <c r="B791" s="3"/>
      <c r="C791" s="3"/>
      <c r="E791" s="3"/>
      <c r="F791" s="3"/>
    </row>
    <row r="792">
      <c r="A792" s="3"/>
      <c r="B792" s="3"/>
      <c r="C792" s="3"/>
      <c r="E792" s="3"/>
      <c r="F792" s="3"/>
    </row>
    <row r="793">
      <c r="A793" s="3"/>
      <c r="B793" s="3"/>
      <c r="C793" s="3"/>
      <c r="E793" s="3"/>
      <c r="F793" s="3"/>
    </row>
    <row r="794">
      <c r="A794" s="3"/>
      <c r="B794" s="3"/>
      <c r="C794" s="3"/>
      <c r="E794" s="3"/>
      <c r="F794" s="3"/>
    </row>
    <row r="795">
      <c r="A795" s="3"/>
      <c r="B795" s="3"/>
      <c r="C795" s="3"/>
      <c r="E795" s="3"/>
      <c r="F795" s="3"/>
    </row>
    <row r="796">
      <c r="A796" s="3"/>
      <c r="B796" s="3"/>
      <c r="C796" s="3"/>
      <c r="E796" s="3"/>
      <c r="F796" s="3"/>
    </row>
    <row r="797">
      <c r="A797" s="3"/>
      <c r="B797" s="3"/>
      <c r="C797" s="3"/>
      <c r="E797" s="3"/>
      <c r="F797" s="3"/>
    </row>
    <row r="798">
      <c r="A798" s="3"/>
      <c r="B798" s="3"/>
      <c r="C798" s="3"/>
      <c r="E798" s="3"/>
      <c r="F798" s="3"/>
    </row>
    <row r="799">
      <c r="A799" s="3"/>
      <c r="B799" s="3"/>
      <c r="C799" s="3"/>
      <c r="E799" s="3"/>
      <c r="F799" s="3"/>
    </row>
    <row r="800">
      <c r="A800" s="3"/>
      <c r="B800" s="3"/>
      <c r="C800" s="3"/>
      <c r="E800" s="3"/>
      <c r="F800" s="3"/>
    </row>
    <row r="801">
      <c r="A801" s="3"/>
      <c r="B801" s="3"/>
      <c r="C801" s="3"/>
      <c r="E801" s="3"/>
      <c r="F801" s="3"/>
    </row>
    <row r="802">
      <c r="A802" s="3"/>
      <c r="B802" s="3"/>
      <c r="C802" s="3"/>
      <c r="E802" s="3"/>
      <c r="F802" s="3"/>
    </row>
    <row r="803">
      <c r="A803" s="3"/>
      <c r="B803" s="3"/>
      <c r="C803" s="3"/>
      <c r="E803" s="3"/>
      <c r="F803" s="3"/>
    </row>
    <row r="804">
      <c r="A804" s="3"/>
      <c r="B804" s="3"/>
      <c r="C804" s="3"/>
      <c r="E804" s="3"/>
      <c r="F804" s="3"/>
    </row>
    <row r="805">
      <c r="A805" s="3"/>
      <c r="B805" s="3"/>
      <c r="C805" s="3"/>
      <c r="E805" s="3"/>
      <c r="F805" s="3"/>
    </row>
    <row r="806">
      <c r="A806" s="3"/>
      <c r="B806" s="3"/>
      <c r="C806" s="3"/>
      <c r="E806" s="3"/>
      <c r="F806" s="3"/>
    </row>
    <row r="807">
      <c r="A807" s="3"/>
      <c r="B807" s="3"/>
      <c r="C807" s="3"/>
      <c r="E807" s="3"/>
      <c r="F807" s="3"/>
    </row>
    <row r="808">
      <c r="A808" s="3"/>
      <c r="B808" s="3"/>
      <c r="C808" s="3"/>
      <c r="E808" s="3"/>
      <c r="F808" s="3"/>
    </row>
    <row r="809">
      <c r="A809" s="3"/>
      <c r="B809" s="3"/>
      <c r="C809" s="3"/>
      <c r="E809" s="3"/>
      <c r="F809" s="3"/>
    </row>
    <row r="810">
      <c r="A810" s="3"/>
      <c r="B810" s="3"/>
      <c r="C810" s="3"/>
      <c r="E810" s="3"/>
      <c r="F810" s="3"/>
    </row>
    <row r="811">
      <c r="A811" s="3"/>
      <c r="B811" s="3"/>
      <c r="C811" s="3"/>
      <c r="E811" s="3"/>
      <c r="F811" s="3"/>
    </row>
    <row r="812">
      <c r="A812" s="3"/>
      <c r="B812" s="3"/>
      <c r="C812" s="3"/>
      <c r="E812" s="3"/>
      <c r="F812" s="3"/>
    </row>
    <row r="813">
      <c r="A813" s="3"/>
      <c r="B813" s="3"/>
      <c r="C813" s="3"/>
      <c r="E813" s="3"/>
      <c r="F813" s="3"/>
    </row>
    <row r="814">
      <c r="A814" s="3"/>
      <c r="B814" s="3"/>
      <c r="C814" s="3"/>
      <c r="E814" s="3"/>
      <c r="F814" s="3"/>
    </row>
    <row r="815">
      <c r="A815" s="3"/>
      <c r="B815" s="3"/>
      <c r="C815" s="3"/>
      <c r="E815" s="3"/>
      <c r="F815" s="3"/>
    </row>
    <row r="816">
      <c r="A816" s="3"/>
      <c r="B816" s="3"/>
      <c r="C816" s="3"/>
      <c r="E816" s="3"/>
      <c r="F816" s="3"/>
    </row>
    <row r="817">
      <c r="A817" s="3"/>
      <c r="B817" s="3"/>
      <c r="C817" s="3"/>
      <c r="E817" s="3"/>
      <c r="F817" s="3"/>
    </row>
    <row r="818">
      <c r="A818" s="3"/>
      <c r="B818" s="3"/>
      <c r="C818" s="3"/>
      <c r="E818" s="3"/>
      <c r="F818" s="3"/>
    </row>
    <row r="819">
      <c r="A819" s="3"/>
      <c r="B819" s="3"/>
      <c r="C819" s="3"/>
      <c r="E819" s="3"/>
      <c r="F819" s="3"/>
    </row>
    <row r="820">
      <c r="A820" s="3"/>
      <c r="B820" s="3"/>
      <c r="C820" s="3"/>
      <c r="E820" s="3"/>
      <c r="F820" s="3"/>
    </row>
    <row r="821">
      <c r="A821" s="3"/>
      <c r="B821" s="3"/>
      <c r="C821" s="3"/>
      <c r="E821" s="3"/>
      <c r="F821" s="3"/>
    </row>
    <row r="822">
      <c r="A822" s="3"/>
      <c r="B822" s="3"/>
      <c r="C822" s="3"/>
      <c r="E822" s="3"/>
      <c r="F822" s="3"/>
    </row>
    <row r="823">
      <c r="A823" s="3"/>
      <c r="B823" s="3"/>
      <c r="C823" s="3"/>
      <c r="E823" s="3"/>
      <c r="F823" s="3"/>
    </row>
    <row r="824">
      <c r="A824" s="3"/>
      <c r="B824" s="3"/>
      <c r="C824" s="3"/>
      <c r="E824" s="3"/>
      <c r="F824" s="3"/>
    </row>
    <row r="825">
      <c r="A825" s="3"/>
      <c r="B825" s="3"/>
      <c r="C825" s="3"/>
      <c r="E825" s="3"/>
      <c r="F825" s="3"/>
    </row>
    <row r="826">
      <c r="A826" s="3"/>
      <c r="B826" s="3"/>
      <c r="C826" s="3"/>
      <c r="E826" s="3"/>
      <c r="F826" s="3"/>
    </row>
    <row r="827">
      <c r="A827" s="3"/>
      <c r="B827" s="3"/>
      <c r="C827" s="3"/>
      <c r="E827" s="3"/>
      <c r="F827" s="3"/>
    </row>
    <row r="828">
      <c r="A828" s="3"/>
      <c r="B828" s="3"/>
      <c r="C828" s="3"/>
      <c r="E828" s="3"/>
      <c r="F828" s="3"/>
    </row>
    <row r="829">
      <c r="A829" s="3"/>
      <c r="B829" s="3"/>
      <c r="C829" s="3"/>
      <c r="E829" s="3"/>
      <c r="F829" s="3"/>
    </row>
    <row r="830">
      <c r="A830" s="3"/>
      <c r="B830" s="3"/>
      <c r="C830" s="3"/>
      <c r="E830" s="3"/>
      <c r="F830" s="3"/>
    </row>
    <row r="831">
      <c r="A831" s="3"/>
      <c r="B831" s="3"/>
      <c r="C831" s="3"/>
      <c r="E831" s="3"/>
      <c r="F831" s="3"/>
    </row>
    <row r="832">
      <c r="A832" s="3"/>
      <c r="B832" s="3"/>
      <c r="C832" s="3"/>
      <c r="E832" s="3"/>
      <c r="F832" s="3"/>
    </row>
    <row r="833">
      <c r="A833" s="3"/>
      <c r="B833" s="3"/>
      <c r="C833" s="3"/>
      <c r="E833" s="3"/>
      <c r="F833" s="3"/>
    </row>
    <row r="834">
      <c r="A834" s="3"/>
      <c r="B834" s="3"/>
      <c r="C834" s="3"/>
      <c r="E834" s="3"/>
      <c r="F834" s="3"/>
    </row>
    <row r="835">
      <c r="A835" s="3"/>
      <c r="B835" s="3"/>
      <c r="C835" s="3"/>
      <c r="E835" s="3"/>
      <c r="F835" s="3"/>
    </row>
    <row r="836">
      <c r="A836" s="3"/>
      <c r="B836" s="3"/>
      <c r="C836" s="3"/>
      <c r="E836" s="3"/>
      <c r="F836" s="3"/>
    </row>
    <row r="837">
      <c r="A837" s="3"/>
      <c r="B837" s="3"/>
      <c r="C837" s="3"/>
      <c r="E837" s="3"/>
      <c r="F837" s="3"/>
    </row>
    <row r="838">
      <c r="A838" s="3"/>
      <c r="B838" s="3"/>
      <c r="C838" s="3"/>
      <c r="E838" s="3"/>
      <c r="F838" s="3"/>
    </row>
    <row r="839">
      <c r="A839" s="3"/>
      <c r="B839" s="3"/>
      <c r="C839" s="3"/>
      <c r="E839" s="3"/>
      <c r="F839" s="3"/>
    </row>
    <row r="840">
      <c r="A840" s="3"/>
      <c r="B840" s="3"/>
      <c r="C840" s="3"/>
      <c r="E840" s="3"/>
      <c r="F840" s="3"/>
    </row>
    <row r="841">
      <c r="A841" s="3"/>
      <c r="B841" s="3"/>
      <c r="C841" s="3"/>
      <c r="E841" s="3"/>
      <c r="F841" s="3"/>
    </row>
    <row r="842">
      <c r="A842" s="3"/>
      <c r="B842" s="3"/>
      <c r="C842" s="3"/>
      <c r="E842" s="3"/>
      <c r="F842" s="3"/>
    </row>
    <row r="843">
      <c r="A843" s="3"/>
      <c r="B843" s="3"/>
      <c r="C843" s="3"/>
      <c r="E843" s="3"/>
      <c r="F843" s="3"/>
    </row>
    <row r="844">
      <c r="A844" s="3"/>
      <c r="B844" s="3"/>
      <c r="C844" s="3"/>
      <c r="E844" s="3"/>
      <c r="F844" s="3"/>
    </row>
    <row r="845">
      <c r="A845" s="3"/>
      <c r="B845" s="3"/>
      <c r="C845" s="3"/>
      <c r="E845" s="3"/>
      <c r="F845" s="3"/>
    </row>
    <row r="846">
      <c r="A846" s="3"/>
      <c r="B846" s="3"/>
      <c r="C846" s="3"/>
      <c r="E846" s="3"/>
      <c r="F846" s="3"/>
    </row>
    <row r="847">
      <c r="A847" s="3"/>
      <c r="B847" s="3"/>
      <c r="C847" s="3"/>
      <c r="E847" s="3"/>
      <c r="F847" s="3"/>
    </row>
    <row r="848">
      <c r="A848" s="3"/>
      <c r="B848" s="3"/>
      <c r="C848" s="3"/>
      <c r="E848" s="3"/>
      <c r="F848" s="3"/>
    </row>
    <row r="849">
      <c r="A849" s="3"/>
      <c r="B849" s="3"/>
      <c r="C849" s="3"/>
      <c r="E849" s="3"/>
      <c r="F849" s="3"/>
    </row>
    <row r="850">
      <c r="A850" s="3"/>
      <c r="B850" s="3"/>
      <c r="C850" s="3"/>
      <c r="E850" s="3"/>
      <c r="F850" s="3"/>
    </row>
    <row r="851">
      <c r="A851" s="3"/>
      <c r="B851" s="3"/>
      <c r="C851" s="3"/>
      <c r="E851" s="3"/>
      <c r="F851" s="3"/>
    </row>
    <row r="852">
      <c r="A852" s="3"/>
      <c r="B852" s="3"/>
      <c r="C852" s="3"/>
      <c r="E852" s="3"/>
      <c r="F852" s="3"/>
    </row>
    <row r="853">
      <c r="A853" s="3"/>
      <c r="B853" s="3"/>
      <c r="C853" s="3"/>
      <c r="E853" s="3"/>
      <c r="F853" s="3"/>
    </row>
    <row r="854">
      <c r="A854" s="3"/>
      <c r="B854" s="3"/>
      <c r="C854" s="3"/>
      <c r="E854" s="3"/>
      <c r="F854" s="3"/>
    </row>
    <row r="855">
      <c r="A855" s="3"/>
      <c r="B855" s="3"/>
      <c r="C855" s="3"/>
      <c r="E855" s="3"/>
      <c r="F855" s="3"/>
    </row>
    <row r="856">
      <c r="A856" s="3"/>
      <c r="B856" s="3"/>
      <c r="C856" s="3"/>
      <c r="E856" s="3"/>
      <c r="F856" s="3"/>
    </row>
    <row r="857">
      <c r="A857" s="3"/>
      <c r="B857" s="3"/>
      <c r="C857" s="3"/>
      <c r="E857" s="3"/>
      <c r="F857" s="3"/>
    </row>
    <row r="858">
      <c r="A858" s="3"/>
      <c r="B858" s="3"/>
      <c r="C858" s="3"/>
      <c r="E858" s="3"/>
      <c r="F858" s="3"/>
    </row>
    <row r="859">
      <c r="A859" s="3"/>
      <c r="B859" s="3"/>
      <c r="C859" s="3"/>
      <c r="E859" s="3"/>
      <c r="F859" s="3"/>
    </row>
    <row r="860">
      <c r="A860" s="3"/>
      <c r="B860" s="3"/>
      <c r="C860" s="3"/>
      <c r="E860" s="3"/>
      <c r="F860" s="3"/>
    </row>
    <row r="861">
      <c r="A861" s="3"/>
      <c r="B861" s="3"/>
      <c r="C861" s="3"/>
      <c r="E861" s="3"/>
      <c r="F861" s="3"/>
    </row>
    <row r="862">
      <c r="A862" s="3"/>
      <c r="B862" s="3"/>
      <c r="C862" s="3"/>
      <c r="E862" s="3"/>
      <c r="F862" s="3"/>
    </row>
    <row r="863">
      <c r="A863" s="3"/>
      <c r="B863" s="3"/>
      <c r="C863" s="3"/>
      <c r="E863" s="3"/>
      <c r="F863" s="3"/>
    </row>
    <row r="864">
      <c r="A864" s="3"/>
      <c r="B864" s="3"/>
      <c r="C864" s="3"/>
      <c r="E864" s="3"/>
      <c r="F864" s="3"/>
    </row>
    <row r="865">
      <c r="A865" s="3"/>
      <c r="B865" s="3"/>
      <c r="C865" s="3"/>
      <c r="E865" s="3"/>
      <c r="F865" s="3"/>
    </row>
    <row r="866">
      <c r="A866" s="3"/>
      <c r="B866" s="3"/>
      <c r="C866" s="3"/>
      <c r="E866" s="3"/>
      <c r="F866" s="3"/>
    </row>
    <row r="867">
      <c r="A867" s="3"/>
      <c r="B867" s="3"/>
      <c r="C867" s="3"/>
      <c r="E867" s="3"/>
      <c r="F867" s="3"/>
    </row>
    <row r="868">
      <c r="A868" s="3"/>
      <c r="B868" s="3"/>
      <c r="C868" s="3"/>
      <c r="E868" s="3"/>
      <c r="F868" s="3"/>
    </row>
    <row r="869">
      <c r="A869" s="3"/>
      <c r="B869" s="3"/>
      <c r="C869" s="3"/>
      <c r="E869" s="3"/>
      <c r="F869" s="3"/>
    </row>
    <row r="870">
      <c r="A870" s="3"/>
      <c r="B870" s="3"/>
      <c r="C870" s="3"/>
      <c r="E870" s="3"/>
      <c r="F870" s="3"/>
    </row>
    <row r="871">
      <c r="A871" s="3"/>
      <c r="B871" s="3"/>
      <c r="C871" s="3"/>
      <c r="E871" s="3"/>
      <c r="F871" s="3"/>
    </row>
    <row r="872">
      <c r="A872" s="3"/>
      <c r="B872" s="3"/>
      <c r="C872" s="3"/>
      <c r="E872" s="3"/>
      <c r="F872" s="3"/>
    </row>
    <row r="873">
      <c r="A873" s="3"/>
      <c r="B873" s="3"/>
      <c r="C873" s="3"/>
      <c r="E873" s="3"/>
      <c r="F873" s="3"/>
    </row>
    <row r="874">
      <c r="A874" s="3"/>
      <c r="B874" s="3"/>
      <c r="C874" s="3"/>
      <c r="E874" s="3"/>
      <c r="F874" s="3"/>
    </row>
    <row r="875">
      <c r="A875" s="3"/>
      <c r="B875" s="3"/>
      <c r="C875" s="3"/>
      <c r="E875" s="3"/>
      <c r="F875" s="3"/>
    </row>
    <row r="876">
      <c r="A876" s="3"/>
      <c r="B876" s="3"/>
      <c r="C876" s="3"/>
      <c r="E876" s="3"/>
      <c r="F876" s="3"/>
    </row>
    <row r="877">
      <c r="A877" s="3"/>
      <c r="B877" s="3"/>
      <c r="C877" s="3"/>
      <c r="E877" s="3"/>
      <c r="F877" s="3"/>
    </row>
    <row r="878">
      <c r="A878" s="3"/>
      <c r="B878" s="3"/>
      <c r="C878" s="3"/>
      <c r="E878" s="3"/>
      <c r="F878" s="3"/>
    </row>
    <row r="879">
      <c r="A879" s="3"/>
      <c r="B879" s="3"/>
      <c r="C879" s="3"/>
      <c r="E879" s="3"/>
      <c r="F879" s="3"/>
    </row>
    <row r="880">
      <c r="A880" s="3"/>
      <c r="B880" s="3"/>
      <c r="C880" s="3"/>
      <c r="E880" s="3"/>
      <c r="F880" s="3"/>
    </row>
    <row r="881">
      <c r="A881" s="3"/>
      <c r="B881" s="3"/>
      <c r="C881" s="3"/>
      <c r="E881" s="3"/>
      <c r="F881" s="3"/>
    </row>
    <row r="882">
      <c r="A882" s="3"/>
      <c r="B882" s="3"/>
      <c r="C882" s="3"/>
      <c r="E882" s="3"/>
      <c r="F882" s="3"/>
    </row>
    <row r="883">
      <c r="A883" s="3"/>
      <c r="B883" s="3"/>
      <c r="C883" s="3"/>
      <c r="E883" s="3"/>
      <c r="F883" s="3"/>
    </row>
    <row r="884">
      <c r="A884" s="3"/>
      <c r="B884" s="3"/>
      <c r="C884" s="3"/>
      <c r="E884" s="3"/>
      <c r="F884" s="3"/>
    </row>
    <row r="885">
      <c r="A885" s="3"/>
      <c r="B885" s="3"/>
      <c r="C885" s="3"/>
      <c r="E885" s="3"/>
      <c r="F885" s="3"/>
    </row>
    <row r="886">
      <c r="A886" s="3"/>
      <c r="B886" s="3"/>
      <c r="C886" s="3"/>
      <c r="E886" s="3"/>
      <c r="F886" s="3"/>
    </row>
    <row r="887">
      <c r="A887" s="3"/>
      <c r="B887" s="3"/>
      <c r="C887" s="3"/>
      <c r="E887" s="3"/>
      <c r="F887" s="3"/>
    </row>
    <row r="888">
      <c r="A888" s="3"/>
      <c r="B888" s="3"/>
      <c r="C888" s="3"/>
      <c r="E888" s="3"/>
      <c r="F888" s="3"/>
    </row>
    <row r="889">
      <c r="A889" s="3"/>
      <c r="B889" s="3"/>
      <c r="C889" s="3"/>
      <c r="E889" s="3"/>
      <c r="F889" s="3"/>
    </row>
    <row r="890">
      <c r="A890" s="3"/>
      <c r="B890" s="3"/>
      <c r="C890" s="3"/>
      <c r="E890" s="3"/>
      <c r="F890" s="3"/>
    </row>
    <row r="891">
      <c r="A891" s="3"/>
      <c r="B891" s="3"/>
      <c r="C891" s="3"/>
      <c r="E891" s="3"/>
      <c r="F891" s="3"/>
    </row>
    <row r="892">
      <c r="A892" s="3"/>
      <c r="B892" s="3"/>
      <c r="C892" s="3"/>
      <c r="E892" s="3"/>
      <c r="F892" s="3"/>
    </row>
    <row r="893">
      <c r="A893" s="3"/>
      <c r="B893" s="3"/>
      <c r="C893" s="3"/>
      <c r="E893" s="3"/>
      <c r="F893" s="3"/>
    </row>
    <row r="894">
      <c r="A894" s="3"/>
      <c r="B894" s="3"/>
      <c r="C894" s="3"/>
      <c r="E894" s="3"/>
      <c r="F894" s="3"/>
    </row>
    <row r="895">
      <c r="A895" s="3"/>
      <c r="B895" s="3"/>
      <c r="C895" s="3"/>
      <c r="E895" s="3"/>
      <c r="F895" s="3"/>
    </row>
    <row r="896">
      <c r="A896" s="3"/>
      <c r="B896" s="3"/>
      <c r="C896" s="3"/>
      <c r="E896" s="3"/>
      <c r="F896" s="3"/>
    </row>
    <row r="897">
      <c r="A897" s="3"/>
      <c r="B897" s="3"/>
      <c r="C897" s="3"/>
      <c r="E897" s="3"/>
      <c r="F897" s="3"/>
    </row>
    <row r="898">
      <c r="A898" s="3"/>
      <c r="B898" s="3"/>
      <c r="C898" s="3"/>
      <c r="E898" s="3"/>
      <c r="F898" s="3"/>
    </row>
    <row r="899">
      <c r="A899" s="3"/>
      <c r="B899" s="3"/>
      <c r="C899" s="3"/>
      <c r="E899" s="3"/>
      <c r="F899" s="3"/>
    </row>
    <row r="900">
      <c r="A900" s="3"/>
      <c r="B900" s="3"/>
      <c r="C900" s="3"/>
      <c r="E900" s="3"/>
      <c r="F900" s="3"/>
    </row>
    <row r="901">
      <c r="A901" s="3"/>
      <c r="B901" s="3"/>
      <c r="C901" s="3"/>
      <c r="E901" s="3"/>
      <c r="F901" s="3"/>
    </row>
    <row r="902">
      <c r="A902" s="3"/>
      <c r="B902" s="3"/>
      <c r="C902" s="3"/>
      <c r="E902" s="3"/>
      <c r="F902" s="3"/>
    </row>
    <row r="903">
      <c r="A903" s="3"/>
      <c r="B903" s="3"/>
      <c r="C903" s="3"/>
      <c r="E903" s="3"/>
      <c r="F903" s="3"/>
    </row>
    <row r="904">
      <c r="A904" s="3"/>
      <c r="B904" s="3"/>
      <c r="C904" s="3"/>
      <c r="E904" s="3"/>
      <c r="F904" s="3"/>
    </row>
    <row r="905">
      <c r="A905" s="3"/>
      <c r="B905" s="3"/>
      <c r="C905" s="3"/>
      <c r="E905" s="3"/>
      <c r="F905" s="3"/>
    </row>
    <row r="906">
      <c r="A906" s="3"/>
      <c r="B906" s="3"/>
      <c r="C906" s="3"/>
      <c r="E906" s="3"/>
      <c r="F906" s="3"/>
    </row>
    <row r="907">
      <c r="A907" s="3"/>
      <c r="B907" s="3"/>
      <c r="C907" s="3"/>
      <c r="E907" s="3"/>
      <c r="F907" s="3"/>
    </row>
    <row r="908">
      <c r="A908" s="3"/>
      <c r="B908" s="3"/>
      <c r="C908" s="3"/>
      <c r="E908" s="3"/>
      <c r="F908" s="3"/>
    </row>
    <row r="909">
      <c r="A909" s="3"/>
      <c r="B909" s="3"/>
      <c r="C909" s="3"/>
      <c r="E909" s="3"/>
      <c r="F909" s="3"/>
    </row>
    <row r="910">
      <c r="A910" s="3"/>
      <c r="B910" s="3"/>
      <c r="C910" s="3"/>
      <c r="E910" s="3"/>
      <c r="F910" s="3"/>
    </row>
    <row r="911">
      <c r="A911" s="3"/>
      <c r="B911" s="3"/>
      <c r="C911" s="3"/>
      <c r="E911" s="3"/>
      <c r="F911" s="3"/>
    </row>
    <row r="912">
      <c r="A912" s="3"/>
      <c r="B912" s="3"/>
      <c r="C912" s="3"/>
      <c r="E912" s="3"/>
      <c r="F912" s="3"/>
    </row>
    <row r="913">
      <c r="A913" s="3"/>
      <c r="B913" s="3"/>
      <c r="C913" s="3"/>
      <c r="E913" s="3"/>
      <c r="F913" s="3"/>
    </row>
    <row r="914">
      <c r="A914" s="3"/>
      <c r="B914" s="3"/>
      <c r="C914" s="3"/>
      <c r="E914" s="3"/>
      <c r="F914" s="3"/>
    </row>
    <row r="915">
      <c r="A915" s="3"/>
      <c r="B915" s="3"/>
      <c r="C915" s="3"/>
      <c r="E915" s="3"/>
      <c r="F915" s="3"/>
    </row>
    <row r="916">
      <c r="A916" s="3"/>
      <c r="B916" s="3"/>
      <c r="C916" s="3"/>
      <c r="E916" s="3"/>
      <c r="F916" s="3"/>
    </row>
    <row r="917">
      <c r="A917" s="3"/>
      <c r="B917" s="3"/>
      <c r="C917" s="3"/>
      <c r="E917" s="3"/>
      <c r="F917" s="3"/>
    </row>
    <row r="918">
      <c r="A918" s="3"/>
      <c r="B918" s="3"/>
      <c r="C918" s="3"/>
      <c r="E918" s="3"/>
      <c r="F918" s="3"/>
    </row>
    <row r="919">
      <c r="A919" s="3"/>
      <c r="B919" s="3"/>
      <c r="C919" s="3"/>
      <c r="E919" s="3"/>
      <c r="F919" s="3"/>
    </row>
    <row r="920">
      <c r="A920" s="3"/>
      <c r="B920" s="3"/>
      <c r="C920" s="3"/>
      <c r="E920" s="3"/>
      <c r="F920" s="3"/>
    </row>
    <row r="921">
      <c r="A921" s="3"/>
      <c r="B921" s="3"/>
      <c r="C921" s="3"/>
      <c r="E921" s="3"/>
      <c r="F921" s="3"/>
    </row>
    <row r="922">
      <c r="A922" s="3"/>
      <c r="B922" s="3"/>
      <c r="C922" s="3"/>
      <c r="E922" s="3"/>
      <c r="F922" s="3"/>
    </row>
    <row r="923">
      <c r="A923" s="3"/>
      <c r="B923" s="3"/>
      <c r="C923" s="3"/>
      <c r="E923" s="3"/>
      <c r="F923" s="3"/>
    </row>
    <row r="924">
      <c r="A924" s="3"/>
      <c r="B924" s="3"/>
      <c r="C924" s="3"/>
      <c r="E924" s="3"/>
      <c r="F924" s="3"/>
    </row>
    <row r="925">
      <c r="A925" s="3"/>
      <c r="B925" s="3"/>
      <c r="C925" s="3"/>
      <c r="E925" s="3"/>
      <c r="F925" s="3"/>
    </row>
    <row r="926">
      <c r="A926" s="3"/>
      <c r="B926" s="3"/>
      <c r="C926" s="3"/>
      <c r="E926" s="3"/>
      <c r="F926" s="3"/>
    </row>
    <row r="927">
      <c r="A927" s="3"/>
      <c r="B927" s="3"/>
      <c r="C927" s="3"/>
      <c r="E927" s="3"/>
      <c r="F927" s="3"/>
    </row>
    <row r="928">
      <c r="A928" s="3"/>
      <c r="B928" s="3"/>
      <c r="C928" s="3"/>
      <c r="E928" s="3"/>
      <c r="F928" s="3"/>
    </row>
    <row r="929">
      <c r="A929" s="3"/>
      <c r="B929" s="3"/>
      <c r="C929" s="3"/>
      <c r="E929" s="3"/>
      <c r="F929" s="3"/>
    </row>
    <row r="930">
      <c r="A930" s="3"/>
      <c r="B930" s="3"/>
      <c r="C930" s="3"/>
      <c r="E930" s="3"/>
      <c r="F930" s="3"/>
    </row>
    <row r="931">
      <c r="A931" s="3"/>
      <c r="B931" s="3"/>
      <c r="C931" s="3"/>
      <c r="E931" s="3"/>
      <c r="F931" s="3"/>
    </row>
    <row r="932">
      <c r="A932" s="3"/>
      <c r="B932" s="3"/>
      <c r="C932" s="3"/>
      <c r="E932" s="3"/>
      <c r="F932" s="3"/>
    </row>
    <row r="933">
      <c r="A933" s="3"/>
      <c r="B933" s="3"/>
      <c r="C933" s="3"/>
      <c r="E933" s="3"/>
      <c r="F933" s="3"/>
    </row>
    <row r="934">
      <c r="A934" s="3"/>
      <c r="B934" s="3"/>
      <c r="C934" s="3"/>
      <c r="E934" s="3"/>
      <c r="F934" s="3"/>
    </row>
    <row r="935">
      <c r="A935" s="3"/>
      <c r="B935" s="3"/>
      <c r="C935" s="3"/>
      <c r="E935" s="3"/>
      <c r="F935" s="3"/>
    </row>
    <row r="936">
      <c r="A936" s="3"/>
      <c r="B936" s="3"/>
      <c r="C936" s="3"/>
      <c r="E936" s="3"/>
      <c r="F936" s="3"/>
    </row>
    <row r="937">
      <c r="A937" s="3"/>
      <c r="B937" s="3"/>
      <c r="C937" s="3"/>
      <c r="E937" s="3"/>
      <c r="F937" s="3"/>
    </row>
    <row r="938">
      <c r="A938" s="3"/>
      <c r="B938" s="3"/>
      <c r="C938" s="3"/>
      <c r="E938" s="3"/>
      <c r="F938" s="3"/>
    </row>
    <row r="939">
      <c r="A939" s="3"/>
      <c r="B939" s="3"/>
      <c r="C939" s="3"/>
      <c r="E939" s="3"/>
      <c r="F939" s="3"/>
    </row>
    <row r="940">
      <c r="A940" s="3"/>
      <c r="B940" s="3"/>
      <c r="C940" s="3"/>
      <c r="E940" s="3"/>
      <c r="F940" s="3"/>
    </row>
    <row r="941">
      <c r="A941" s="3"/>
      <c r="B941" s="3"/>
      <c r="C941" s="3"/>
      <c r="E941" s="3"/>
      <c r="F941" s="3"/>
    </row>
    <row r="942">
      <c r="A942" s="3"/>
      <c r="B942" s="3"/>
      <c r="C942" s="3"/>
      <c r="E942" s="3"/>
      <c r="F942" s="3"/>
    </row>
    <row r="943">
      <c r="A943" s="3"/>
      <c r="B943" s="3"/>
      <c r="C943" s="3"/>
      <c r="E943" s="3"/>
      <c r="F943" s="3"/>
    </row>
    <row r="944">
      <c r="A944" s="3"/>
      <c r="B944" s="3"/>
      <c r="C944" s="3"/>
      <c r="E944" s="3"/>
      <c r="F944" s="3"/>
    </row>
    <row r="945">
      <c r="A945" s="3"/>
      <c r="B945" s="3"/>
      <c r="C945" s="3"/>
      <c r="E945" s="3"/>
      <c r="F945" s="3"/>
    </row>
    <row r="946">
      <c r="A946" s="3"/>
      <c r="B946" s="3"/>
      <c r="C946" s="3"/>
      <c r="E946" s="3"/>
      <c r="F946" s="3"/>
    </row>
    <row r="947">
      <c r="A947" s="3"/>
      <c r="B947" s="3"/>
      <c r="C947" s="3"/>
      <c r="E947" s="3"/>
      <c r="F947" s="3"/>
    </row>
    <row r="948">
      <c r="A948" s="3"/>
      <c r="B948" s="3"/>
      <c r="C948" s="3"/>
      <c r="E948" s="3"/>
      <c r="F948" s="3"/>
    </row>
    <row r="949">
      <c r="A949" s="3"/>
      <c r="B949" s="3"/>
      <c r="C949" s="3"/>
      <c r="E949" s="3"/>
      <c r="F949" s="3"/>
    </row>
    <row r="950">
      <c r="A950" s="3"/>
      <c r="B950" s="3"/>
      <c r="C950" s="3"/>
      <c r="E950" s="3"/>
      <c r="F950" s="3"/>
    </row>
    <row r="951">
      <c r="A951" s="3"/>
      <c r="B951" s="3"/>
      <c r="C951" s="3"/>
      <c r="E951" s="3"/>
      <c r="F951" s="3"/>
    </row>
    <row r="952">
      <c r="A952" s="3"/>
      <c r="B952" s="3"/>
      <c r="C952" s="3"/>
      <c r="E952" s="3"/>
      <c r="F952" s="3"/>
    </row>
    <row r="953">
      <c r="A953" s="3"/>
      <c r="B953" s="3"/>
      <c r="C953" s="3"/>
      <c r="E953" s="3"/>
      <c r="F953" s="3"/>
    </row>
    <row r="954">
      <c r="A954" s="3"/>
      <c r="B954" s="3"/>
      <c r="C954" s="3"/>
      <c r="E954" s="3"/>
      <c r="F954" s="3"/>
    </row>
    <row r="955">
      <c r="A955" s="3"/>
      <c r="B955" s="3"/>
      <c r="C955" s="3"/>
      <c r="E955" s="3"/>
      <c r="F955" s="3"/>
    </row>
    <row r="956">
      <c r="A956" s="3"/>
      <c r="B956" s="3"/>
      <c r="C956" s="3"/>
      <c r="E956" s="3"/>
      <c r="F956" s="3"/>
    </row>
    <row r="957">
      <c r="A957" s="3"/>
      <c r="B957" s="3"/>
      <c r="C957" s="3"/>
      <c r="E957" s="3"/>
      <c r="F957" s="3"/>
    </row>
    <row r="958">
      <c r="A958" s="3"/>
      <c r="B958" s="3"/>
      <c r="C958" s="3"/>
      <c r="E958" s="3"/>
      <c r="F958" s="3"/>
    </row>
    <row r="959">
      <c r="A959" s="3"/>
      <c r="B959" s="3"/>
      <c r="C959" s="3"/>
      <c r="E959" s="3"/>
      <c r="F959" s="3"/>
    </row>
    <row r="960">
      <c r="A960" s="3"/>
      <c r="B960" s="3"/>
      <c r="C960" s="3"/>
      <c r="E960" s="3"/>
      <c r="F960" s="3"/>
    </row>
    <row r="961">
      <c r="A961" s="3"/>
      <c r="B961" s="3"/>
      <c r="C961" s="3"/>
      <c r="E961" s="3"/>
      <c r="F961" s="3"/>
    </row>
    <row r="962">
      <c r="A962" s="3"/>
      <c r="B962" s="3"/>
      <c r="C962" s="3"/>
      <c r="E962" s="3"/>
      <c r="F962" s="3"/>
    </row>
    <row r="963">
      <c r="A963" s="3"/>
      <c r="B963" s="3"/>
      <c r="C963" s="3"/>
      <c r="E963" s="3"/>
      <c r="F963" s="3"/>
    </row>
    <row r="964">
      <c r="A964" s="3"/>
      <c r="B964" s="3"/>
      <c r="C964" s="3"/>
      <c r="E964" s="3"/>
      <c r="F964" s="3"/>
    </row>
    <row r="965">
      <c r="A965" s="3"/>
      <c r="B965" s="3"/>
      <c r="C965" s="3"/>
      <c r="E965" s="3"/>
      <c r="F965" s="3"/>
    </row>
    <row r="966">
      <c r="A966" s="3"/>
      <c r="B966" s="3"/>
      <c r="C966" s="3"/>
      <c r="E966" s="3"/>
      <c r="F966" s="3"/>
    </row>
    <row r="967">
      <c r="A967" s="3"/>
      <c r="B967" s="3"/>
      <c r="C967" s="3"/>
      <c r="E967" s="3"/>
      <c r="F967" s="3"/>
    </row>
    <row r="968">
      <c r="A968" s="3"/>
      <c r="B968" s="3"/>
      <c r="C968" s="3"/>
      <c r="E968" s="3"/>
      <c r="F968" s="3"/>
    </row>
    <row r="969">
      <c r="A969" s="3"/>
      <c r="B969" s="3"/>
      <c r="C969" s="3"/>
      <c r="E969" s="3"/>
      <c r="F969" s="3"/>
    </row>
    <row r="970">
      <c r="A970" s="3"/>
      <c r="B970" s="3"/>
      <c r="C970" s="3"/>
      <c r="E970" s="3"/>
      <c r="F970" s="3"/>
    </row>
    <row r="971">
      <c r="A971" s="3"/>
      <c r="B971" s="3"/>
      <c r="C971" s="3"/>
      <c r="E971" s="3"/>
      <c r="F971" s="3"/>
    </row>
    <row r="972">
      <c r="A972" s="3"/>
      <c r="B972" s="3"/>
      <c r="C972" s="3"/>
      <c r="E972" s="3"/>
      <c r="F972" s="3"/>
    </row>
    <row r="973">
      <c r="A973" s="3"/>
      <c r="B973" s="3"/>
      <c r="C973" s="3"/>
      <c r="E973" s="3"/>
      <c r="F973" s="3"/>
    </row>
    <row r="974">
      <c r="A974" s="3"/>
      <c r="B974" s="3"/>
      <c r="C974" s="3"/>
      <c r="E974" s="3"/>
      <c r="F974" s="3"/>
    </row>
    <row r="975">
      <c r="A975" s="3"/>
      <c r="B975" s="3"/>
      <c r="C975" s="3"/>
      <c r="E975" s="3"/>
      <c r="F975" s="3"/>
    </row>
    <row r="976">
      <c r="A976" s="3"/>
      <c r="B976" s="3"/>
      <c r="C976" s="3"/>
      <c r="E976" s="3"/>
      <c r="F976" s="3"/>
    </row>
    <row r="977">
      <c r="A977" s="3"/>
      <c r="B977" s="3"/>
      <c r="C977" s="3"/>
      <c r="E977" s="3"/>
      <c r="F977" s="3"/>
    </row>
    <row r="978">
      <c r="A978" s="3"/>
      <c r="B978" s="3"/>
      <c r="C978" s="3"/>
      <c r="E978" s="3"/>
      <c r="F978" s="3"/>
    </row>
    <row r="979">
      <c r="A979" s="3"/>
      <c r="B979" s="3"/>
      <c r="C979" s="3"/>
      <c r="E979" s="3"/>
      <c r="F979" s="3"/>
    </row>
    <row r="980">
      <c r="A980" s="3"/>
      <c r="B980" s="3"/>
      <c r="C980" s="3"/>
      <c r="E980" s="3"/>
      <c r="F980" s="3"/>
    </row>
    <row r="981">
      <c r="A981" s="3"/>
      <c r="B981" s="3"/>
      <c r="C981" s="3"/>
      <c r="E981" s="3"/>
      <c r="F981" s="3"/>
    </row>
    <row r="982">
      <c r="A982" s="3"/>
      <c r="B982" s="3"/>
      <c r="C982" s="3"/>
      <c r="E982" s="3"/>
      <c r="F982" s="3"/>
    </row>
    <row r="983">
      <c r="A983" s="3"/>
      <c r="B983" s="3"/>
      <c r="C983" s="3"/>
      <c r="E983" s="3"/>
      <c r="F983" s="3"/>
    </row>
    <row r="984">
      <c r="A984" s="3"/>
      <c r="B984" s="3"/>
      <c r="C984" s="3"/>
      <c r="E984" s="3"/>
      <c r="F984" s="3"/>
    </row>
    <row r="985">
      <c r="A985" s="3"/>
      <c r="B985" s="3"/>
      <c r="C985" s="3"/>
      <c r="E985" s="3"/>
      <c r="F985" s="3"/>
    </row>
    <row r="986">
      <c r="A986" s="3"/>
      <c r="B986" s="3"/>
      <c r="C986" s="3"/>
      <c r="E986" s="3"/>
      <c r="F986" s="3"/>
    </row>
    <row r="987">
      <c r="A987" s="3"/>
      <c r="B987" s="3"/>
      <c r="C987" s="3"/>
      <c r="E987" s="3"/>
      <c r="F987" s="3"/>
    </row>
    <row r="988">
      <c r="A988" s="3"/>
      <c r="B988" s="3"/>
      <c r="C988" s="3"/>
      <c r="E988" s="3"/>
      <c r="F988" s="3"/>
    </row>
    <row r="989">
      <c r="A989" s="3"/>
      <c r="B989" s="3"/>
      <c r="C989" s="3"/>
      <c r="E989" s="3"/>
      <c r="F989" s="3"/>
    </row>
    <row r="990">
      <c r="A990" s="3"/>
      <c r="B990" s="3"/>
      <c r="C990" s="3"/>
      <c r="E990" s="3"/>
      <c r="F990" s="3"/>
    </row>
    <row r="991">
      <c r="A991" s="3"/>
      <c r="B991" s="3"/>
      <c r="C991" s="3"/>
      <c r="E991" s="3"/>
      <c r="F991" s="3"/>
    </row>
    <row r="992">
      <c r="A992" s="3"/>
      <c r="B992" s="3"/>
      <c r="C992" s="3"/>
      <c r="E992" s="3"/>
      <c r="F992" s="3"/>
    </row>
    <row r="993">
      <c r="A993" s="3"/>
      <c r="B993" s="3"/>
      <c r="C993" s="3"/>
      <c r="E993" s="3"/>
      <c r="F993" s="3"/>
    </row>
    <row r="994">
      <c r="A994" s="3"/>
      <c r="B994" s="3"/>
      <c r="C994" s="3"/>
      <c r="E994" s="3"/>
      <c r="F994" s="3"/>
    </row>
    <row r="995">
      <c r="A995" s="3"/>
      <c r="B995" s="3"/>
      <c r="C995" s="3"/>
      <c r="E995" s="3"/>
      <c r="F995" s="3"/>
    </row>
    <row r="996">
      <c r="A996" s="3"/>
      <c r="B996" s="3"/>
      <c r="C996" s="3"/>
      <c r="E996" s="3"/>
      <c r="F996" s="3"/>
    </row>
    <row r="997">
      <c r="A997" s="3"/>
      <c r="B997" s="3"/>
      <c r="C997" s="3"/>
      <c r="E997" s="3"/>
      <c r="F997" s="3"/>
    </row>
    <row r="998">
      <c r="A998" s="3"/>
      <c r="B998" s="3"/>
      <c r="C998" s="3"/>
      <c r="E998" s="3"/>
      <c r="F998" s="3"/>
    </row>
    <row r="999">
      <c r="A999" s="3"/>
      <c r="B999" s="3"/>
      <c r="C999" s="3"/>
      <c r="E999" s="3"/>
      <c r="F999" s="3"/>
    </row>
    <row r="1000">
      <c r="A1000" s="3"/>
      <c r="B1000" s="3"/>
      <c r="C1000" s="3"/>
      <c r="E1000" s="3"/>
      <c r="F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2.0"/>
    <col customWidth="1" min="3" max="3" width="13.5"/>
    <col customWidth="1" min="4" max="4" width="18.75"/>
    <col customWidth="1" min="6" max="6" width="18.0"/>
    <col customWidth="1" min="7" max="7" width="9.5"/>
    <col customWidth="1" min="8" max="8" width="12.0"/>
    <col customWidth="1" min="9" max="9" width="16.75"/>
    <col customWidth="1" min="10" max="10" width="11.13"/>
    <col customWidth="1" min="11" max="11" width="9.75"/>
    <col customWidth="1" min="12" max="12" width="12.0"/>
    <col customWidth="1" min="13" max="13" width="20.75"/>
  </cols>
  <sheetData>
    <row r="1">
      <c r="A1" s="2" t="s">
        <v>1</v>
      </c>
      <c r="B1" s="2" t="s">
        <v>8</v>
      </c>
      <c r="C1" s="2" t="s">
        <v>11</v>
      </c>
      <c r="D1" s="2" t="s">
        <v>15</v>
      </c>
      <c r="E1" s="2" t="s">
        <v>17</v>
      </c>
      <c r="F1" s="2" t="s">
        <v>18</v>
      </c>
      <c r="G1" s="2" t="s">
        <v>19</v>
      </c>
      <c r="H1" s="2" t="s">
        <v>20</v>
      </c>
      <c r="I1" s="1" t="s">
        <v>23</v>
      </c>
      <c r="J1" s="1" t="s">
        <v>25</v>
      </c>
      <c r="K1" s="1" t="s">
        <v>26</v>
      </c>
      <c r="L1" s="1" t="s">
        <v>27</v>
      </c>
      <c r="M1" s="1" t="s">
        <v>29</v>
      </c>
      <c r="N1" s="4" t="s">
        <v>30</v>
      </c>
    </row>
    <row r="2">
      <c r="A2" s="2" t="s">
        <v>32</v>
      </c>
      <c r="B2" s="2">
        <v>350.0</v>
      </c>
      <c r="C2" s="2">
        <v>16.0</v>
      </c>
      <c r="D2" s="5">
        <v>46051.467361111114</v>
      </c>
      <c r="E2" s="2">
        <v>2999.0</v>
      </c>
      <c r="F2" s="2" t="s">
        <v>35</v>
      </c>
      <c r="G2" s="2" t="s">
        <v>36</v>
      </c>
      <c r="H2" s="2">
        <v>85.0</v>
      </c>
      <c r="I2" s="3" t="str">
        <f>IFERROR(VLOOKUP($C2,Merchants!$A$1:$D$41,2,FALSE),"Merchant not found")</f>
        <v>Merchant_016</v>
      </c>
      <c r="J2" s="3" t="str">
        <f>IFERROR(VLOOKUP($C2,Merchants!$A$1:$D$41,3,FALSE),"Merchant not found")</f>
        <v>entertainment</v>
      </c>
      <c r="K2" s="3" t="str">
        <f>IFERROR(VLOOKUP($C2,Merchants!$A$1:$D$41,4,FALSE),"Merchant not found")</f>
        <v>North</v>
      </c>
      <c r="L2" s="3">
        <f>IFERROR(HLOOKUP(F2,Fee_Lookup!$B$1:$E$2,2,FALSE),"Fee not found")</f>
        <v>1</v>
      </c>
      <c r="M2" s="3" t="str">
        <f>IF(AND(SUMIF(Transactions!$C$2:$C$548,C2,Transactions!$E$2:$E$548)&gt;5000,K2&lt;&gt;"East"),"High-Value Merchant Day","Normal")</f>
        <v>High-Value Merchant Day</v>
      </c>
    </row>
    <row r="3">
      <c r="A3" s="2" t="s">
        <v>54</v>
      </c>
      <c r="B3" s="2">
        <v>287.0</v>
      </c>
      <c r="C3" s="2">
        <v>27.0</v>
      </c>
      <c r="D3" s="5">
        <v>46026.49236111111</v>
      </c>
      <c r="E3" s="2">
        <v>49.0</v>
      </c>
      <c r="F3" s="2" t="s">
        <v>6</v>
      </c>
      <c r="G3" s="2" t="s">
        <v>36</v>
      </c>
      <c r="H3" s="2">
        <v>79.0</v>
      </c>
      <c r="I3" s="3" t="str">
        <f>IFERROR(VLOOKUP($C3,Merchants!$A$1:$D$41,2,FALSE),"Merchant not found")</f>
        <v>Merchant_027</v>
      </c>
      <c r="J3" s="3" t="str">
        <f>IFERROR(VLOOKUP($C3,Merchants!$A$1:$D$41,3,FALSE),"Merchant not found")</f>
        <v>recharge</v>
      </c>
      <c r="K3" s="3" t="str">
        <f>IFERROR(VLOOKUP($C3,Merchants!$A$1:$D$41,4,FALSE),"Merchant not found")</f>
        <v>South</v>
      </c>
      <c r="L3" s="3">
        <f>IFERROR(HLOOKUP(F3,Fee_Lookup!$B$1:$E$2,2,FALSE),"Fee not found")</f>
        <v>0.5</v>
      </c>
      <c r="M3" s="3" t="str">
        <f>IF(AND(SUMIF(Transactions!$C$2:$C$548,C3,Transactions!$E$2:$E$548)&gt;5000,K3&lt;&gt;"East"),"High-Value Merchant Day","Normal")</f>
        <v>High-Value Merchant Day</v>
      </c>
    </row>
    <row r="4">
      <c r="A4" s="2" t="s">
        <v>69</v>
      </c>
      <c r="B4" s="2">
        <v>122.0</v>
      </c>
      <c r="C4" s="2">
        <v>11.0</v>
      </c>
      <c r="D4" s="5">
        <v>46046.20763888889</v>
      </c>
      <c r="E4" s="2">
        <v>1499.0</v>
      </c>
      <c r="F4" s="2" t="s">
        <v>35</v>
      </c>
      <c r="G4" s="2" t="s">
        <v>36</v>
      </c>
      <c r="H4" s="2">
        <v>22.0</v>
      </c>
      <c r="I4" s="3" t="str">
        <f>IFERROR(VLOOKUP($C4,Merchants!$A$1:$D$41,2,FALSE),"Merchant not found")</f>
        <v>Merchant_011</v>
      </c>
      <c r="J4" s="3" t="str">
        <f>IFERROR(VLOOKUP($C4,Merchants!$A$1:$D$41,3,FALSE),"Merchant not found")</f>
        <v>recharge</v>
      </c>
      <c r="K4" s="3" t="str">
        <f>IFERROR(VLOOKUP($C4,Merchants!$A$1:$D$41,4,FALSE),"Merchant not found")</f>
        <v>West</v>
      </c>
      <c r="L4" s="3">
        <f>IFERROR(HLOOKUP(F4,Fee_Lookup!$B$1:$E$2,2,FALSE),"Fee not found")</f>
        <v>1</v>
      </c>
      <c r="M4" s="3" t="str">
        <f>IF(AND(SUMIF(Transactions!$C$2:$C$548,C4,Transactions!$E$2:$E$548)&gt;5000,K4&lt;&gt;"East"),"High-Value Merchant Day","Normal")</f>
        <v>High-Value Merchant Day</v>
      </c>
    </row>
    <row r="5">
      <c r="A5" s="2" t="s">
        <v>77</v>
      </c>
      <c r="B5" s="2">
        <v>92.0</v>
      </c>
      <c r="C5" s="2">
        <v>22.0</v>
      </c>
      <c r="D5" s="5">
        <v>46051.54236111111</v>
      </c>
      <c r="E5" s="2">
        <v>49.0</v>
      </c>
      <c r="F5" s="2" t="s">
        <v>79</v>
      </c>
      <c r="G5" s="2" t="s">
        <v>36</v>
      </c>
      <c r="H5" s="2">
        <v>100.0</v>
      </c>
      <c r="I5" s="3" t="str">
        <f>IFERROR(VLOOKUP($C5,Merchants!$A$1:$D$41,2,FALSE),"Merchant not found")</f>
        <v>Merchant_022</v>
      </c>
      <c r="J5" s="3" t="str">
        <f>IFERROR(VLOOKUP($C5,Merchants!$A$1:$D$41,3,FALSE),"Merchant not found")</f>
        <v>ecommerce</v>
      </c>
      <c r="K5" s="3" t="str">
        <f>IFERROR(VLOOKUP($C5,Merchants!$A$1:$D$41,4,FALSE),"Merchant not found")</f>
        <v>West</v>
      </c>
      <c r="L5" s="3">
        <f>IFERROR(HLOOKUP(F5,Fee_Lookup!$B$1:$E$2,2,FALSE),"Fee not found")</f>
        <v>1.5</v>
      </c>
      <c r="M5" s="3" t="str">
        <f>IF(AND(SUMIF(Transactions!$C$2:$C$548,C5,Transactions!$E$2:$E$548)&gt;5000,K5&lt;&gt;"East"),"High-Value Merchant Day","Normal")</f>
        <v>High-Value Merchant Day</v>
      </c>
    </row>
    <row r="6">
      <c r="A6" s="2" t="s">
        <v>86</v>
      </c>
      <c r="B6" s="2">
        <v>343.0</v>
      </c>
      <c r="C6" s="2">
        <v>16.0</v>
      </c>
      <c r="D6" s="5">
        <v>46052.57708333333</v>
      </c>
      <c r="E6" s="2">
        <v>99.0</v>
      </c>
      <c r="F6" s="2" t="s">
        <v>6</v>
      </c>
      <c r="G6" s="2" t="s">
        <v>36</v>
      </c>
      <c r="H6" s="2">
        <v>34.0</v>
      </c>
      <c r="I6" s="3" t="str">
        <f>IFERROR(VLOOKUP($C6,Merchants!$A$1:$D$41,2,FALSE),"Merchant not found")</f>
        <v>Merchant_016</v>
      </c>
      <c r="J6" s="3" t="str">
        <f>IFERROR(VLOOKUP($C6,Merchants!$A$1:$D$41,3,FALSE),"Merchant not found")</f>
        <v>entertainment</v>
      </c>
      <c r="K6" s="3" t="str">
        <f>IFERROR(VLOOKUP($C6,Merchants!$A$1:$D$41,4,FALSE),"Merchant not found")</f>
        <v>North</v>
      </c>
      <c r="L6" s="3">
        <f>IFERROR(HLOOKUP(F6,Fee_Lookup!$B$1:$E$2,2,FALSE),"Fee not found")</f>
        <v>0.5</v>
      </c>
      <c r="M6" s="3" t="str">
        <f>IF(AND(SUMIF(Transactions!$C$2:$C$548,C6,Transactions!$E$2:$E$548)&gt;5000,K6&lt;&gt;"East"),"High-Value Merchant Day","Normal")</f>
        <v>High-Value Merchant Day</v>
      </c>
    </row>
    <row r="7">
      <c r="A7" s="2" t="s">
        <v>89</v>
      </c>
      <c r="B7" s="2">
        <v>196.0</v>
      </c>
      <c r="C7" s="2">
        <v>3.0</v>
      </c>
      <c r="D7" s="5">
        <v>46028.92083333333</v>
      </c>
      <c r="E7" s="2">
        <v>99.0</v>
      </c>
      <c r="F7" s="2" t="s">
        <v>6</v>
      </c>
      <c r="G7" s="2" t="s">
        <v>36</v>
      </c>
      <c r="H7" s="2">
        <v>60.0</v>
      </c>
      <c r="I7" s="3" t="str">
        <f>IFERROR(VLOOKUP($C7,Merchants!$A$1:$D$41,2,FALSE),"Merchant not found")</f>
        <v>Merchant_003</v>
      </c>
      <c r="J7" s="3" t="str">
        <f>IFERROR(VLOOKUP($C7,Merchants!$A$1:$D$41,3,FALSE),"Merchant not found")</f>
        <v>entertainment</v>
      </c>
      <c r="K7" s="3" t="str">
        <f>IFERROR(VLOOKUP($C7,Merchants!$A$1:$D$41,4,FALSE),"Merchant not found")</f>
        <v>East</v>
      </c>
      <c r="L7" s="3">
        <f>IFERROR(HLOOKUP(F7,Fee_Lookup!$B$1:$E$2,2,FALSE),"Fee not found")</f>
        <v>0.5</v>
      </c>
      <c r="M7" s="3" t="str">
        <f>IF(AND(SUMIF(Transactions!$C$2:$C$548,C7,Transactions!$E$2:$E$548)&gt;5000,K7&lt;&gt;"East"),"High-Value Merchant Day","Normal")</f>
        <v>Normal</v>
      </c>
    </row>
    <row r="8">
      <c r="A8" s="2" t="s">
        <v>90</v>
      </c>
      <c r="B8" s="2">
        <v>236.0</v>
      </c>
      <c r="C8" s="2">
        <v>23.0</v>
      </c>
      <c r="D8" s="5">
        <v>46030.28611111111</v>
      </c>
      <c r="E8" s="2">
        <v>99.0</v>
      </c>
      <c r="F8" s="2" t="s">
        <v>35</v>
      </c>
      <c r="G8" s="2" t="s">
        <v>36</v>
      </c>
      <c r="H8" s="2">
        <v>39.0</v>
      </c>
      <c r="I8" s="3" t="str">
        <f>IFERROR(VLOOKUP($C8,Merchants!$A$1:$D$41,2,FALSE),"Merchant not found")</f>
        <v>Merchant_023</v>
      </c>
      <c r="J8" s="3" t="str">
        <f>IFERROR(VLOOKUP($C8,Merchants!$A$1:$D$41,3,FALSE),"Merchant not found")</f>
        <v>travel</v>
      </c>
      <c r="K8" s="3" t="str">
        <f>IFERROR(VLOOKUP($C8,Merchants!$A$1:$D$41,4,FALSE),"Merchant not found")</f>
        <v>South</v>
      </c>
      <c r="L8" s="3">
        <f>IFERROR(HLOOKUP(F8,Fee_Lookup!$B$1:$E$2,2,FALSE),"Fee not found")</f>
        <v>1</v>
      </c>
      <c r="M8" s="3" t="str">
        <f>IF(AND(SUMIF(Transactions!$C$2:$C$548,C8,Transactions!$E$2:$E$548)&gt;5000,K8&lt;&gt;"East"),"High-Value Merchant Day","Normal")</f>
        <v>Normal</v>
      </c>
    </row>
    <row r="9">
      <c r="A9" s="2" t="s">
        <v>91</v>
      </c>
      <c r="B9" s="2">
        <v>13.0</v>
      </c>
      <c r="C9" s="2">
        <v>13.0</v>
      </c>
      <c r="D9" s="5">
        <v>46049.30138888889</v>
      </c>
      <c r="E9" s="2">
        <v>99.0</v>
      </c>
      <c r="F9" s="2" t="s">
        <v>6</v>
      </c>
      <c r="G9" s="2" t="s">
        <v>36</v>
      </c>
      <c r="H9" s="2">
        <v>51.0</v>
      </c>
      <c r="I9" s="3" t="str">
        <f>IFERROR(VLOOKUP($C9,Merchants!$A$1:$D$41,2,FALSE),"Merchant not found")</f>
        <v>Merchant_013</v>
      </c>
      <c r="J9" s="3" t="str">
        <f>IFERROR(VLOOKUP($C9,Merchants!$A$1:$D$41,3,FALSE),"Merchant not found")</f>
        <v>ecommerce</v>
      </c>
      <c r="K9" s="3" t="str">
        <f>IFERROR(VLOOKUP($C9,Merchants!$A$1:$D$41,4,FALSE),"Merchant not found")</f>
        <v>North</v>
      </c>
      <c r="L9" s="3">
        <f>IFERROR(HLOOKUP(F9,Fee_Lookup!$B$1:$E$2,2,FALSE),"Fee not found")</f>
        <v>0.5</v>
      </c>
      <c r="M9" s="3" t="str">
        <f>IF(AND(SUMIF(Transactions!$C$2:$C$548,C9,Transactions!$E$2:$E$548)&gt;5000,K9&lt;&gt;"East"),"High-Value Merchant Day","Normal")</f>
        <v>High-Value Merchant Day</v>
      </c>
    </row>
    <row r="10">
      <c r="A10" s="2" t="s">
        <v>92</v>
      </c>
      <c r="B10" s="2">
        <v>36.0</v>
      </c>
      <c r="C10" s="2">
        <v>18.0</v>
      </c>
      <c r="D10" s="5">
        <v>46033.37152777778</v>
      </c>
      <c r="E10" s="2">
        <v>799.0</v>
      </c>
      <c r="F10" s="2" t="s">
        <v>6</v>
      </c>
      <c r="G10" s="2" t="s">
        <v>36</v>
      </c>
      <c r="H10" s="2">
        <v>44.0</v>
      </c>
      <c r="I10" s="3" t="str">
        <f>IFERROR(VLOOKUP($C10,Merchants!$A$1:$D$41,2,FALSE),"Merchant not found")</f>
        <v>Merchant_018</v>
      </c>
      <c r="J10" s="3" t="str">
        <f>IFERROR(VLOOKUP($C10,Merchants!$A$1:$D$41,3,FALSE),"Merchant not found")</f>
        <v>grocery</v>
      </c>
      <c r="K10" s="3" t="str">
        <f>IFERROR(VLOOKUP($C10,Merchants!$A$1:$D$41,4,FALSE),"Merchant not found")</f>
        <v>South</v>
      </c>
      <c r="L10" s="3">
        <f>IFERROR(HLOOKUP(F10,Fee_Lookup!$B$1:$E$2,2,FALSE),"Fee not found")</f>
        <v>0.5</v>
      </c>
      <c r="M10" s="3" t="str">
        <f>IF(AND(SUMIF(Transactions!$C$2:$C$548,C10,Transactions!$E$2:$E$548)&gt;5000,K10&lt;&gt;"East"),"High-Value Merchant Day","Normal")</f>
        <v>High-Value Merchant Day</v>
      </c>
    </row>
    <row r="11">
      <c r="A11" s="2" t="s">
        <v>93</v>
      </c>
      <c r="B11" s="2">
        <v>348.0</v>
      </c>
      <c r="C11" s="2">
        <v>35.0</v>
      </c>
      <c r="D11" s="5">
        <v>46043.68402777778</v>
      </c>
      <c r="E11" s="2">
        <v>299.0</v>
      </c>
      <c r="F11" s="2" t="s">
        <v>6</v>
      </c>
      <c r="G11" s="2" t="s">
        <v>36</v>
      </c>
      <c r="H11" s="2">
        <v>42.0</v>
      </c>
      <c r="I11" s="3" t="str">
        <f>IFERROR(VLOOKUP($C11,Merchants!$A$1:$D$41,2,FALSE),"Merchant not found")</f>
        <v>Merchant_035</v>
      </c>
      <c r="J11" s="3" t="str">
        <f>IFERROR(VLOOKUP($C11,Merchants!$A$1:$D$41,3,FALSE),"Merchant not found")</f>
        <v>food_delivery</v>
      </c>
      <c r="K11" s="3" t="str">
        <f>IFERROR(VLOOKUP($C11,Merchants!$A$1:$D$41,4,FALSE),"Merchant not found")</f>
        <v>South</v>
      </c>
      <c r="L11" s="3">
        <f>IFERROR(HLOOKUP(F11,Fee_Lookup!$B$1:$E$2,2,FALSE),"Fee not found")</f>
        <v>0.5</v>
      </c>
      <c r="M11" s="3" t="str">
        <f>IF(AND(SUMIF(Transactions!$C$2:$C$548,C11,Transactions!$E$2:$E$548)&gt;5000,K11&lt;&gt;"East"),"High-Value Merchant Day","Normal")</f>
        <v>High-Value Merchant Day</v>
      </c>
    </row>
    <row r="12">
      <c r="A12" s="2" t="s">
        <v>94</v>
      </c>
      <c r="B12" s="2">
        <v>134.0</v>
      </c>
      <c r="C12" s="2">
        <v>12.0</v>
      </c>
      <c r="D12" s="5">
        <v>46023.16388888889</v>
      </c>
      <c r="E12" s="2">
        <v>49.0</v>
      </c>
      <c r="F12" s="2" t="s">
        <v>6</v>
      </c>
      <c r="G12" s="2" t="s">
        <v>36</v>
      </c>
      <c r="H12" s="2">
        <v>74.0</v>
      </c>
      <c r="I12" s="3" t="str">
        <f>IFERROR(VLOOKUP($C12,Merchants!$A$1:$D$41,2,FALSE),"Merchant not found")</f>
        <v>Merchant_012</v>
      </c>
      <c r="J12" s="3" t="str">
        <f>IFERROR(VLOOKUP($C12,Merchants!$A$1:$D$41,3,FALSE),"Merchant not found")</f>
        <v>food_delivery</v>
      </c>
      <c r="K12" s="3" t="str">
        <f>IFERROR(VLOOKUP($C12,Merchants!$A$1:$D$41,4,FALSE),"Merchant not found")</f>
        <v>South</v>
      </c>
      <c r="L12" s="3">
        <f>IFERROR(HLOOKUP(F12,Fee_Lookup!$B$1:$E$2,2,FALSE),"Fee not found")</f>
        <v>0.5</v>
      </c>
      <c r="M12" s="3" t="str">
        <f>IF(AND(SUMIF(Transactions!$C$2:$C$548,C12,Transactions!$E$2:$E$548)&gt;5000,K12&lt;&gt;"East"),"High-Value Merchant Day","Normal")</f>
        <v>High-Value Merchant Day</v>
      </c>
    </row>
    <row r="13">
      <c r="A13" s="2" t="s">
        <v>95</v>
      </c>
      <c r="B13" s="2">
        <v>306.0</v>
      </c>
      <c r="C13" s="2">
        <v>28.0</v>
      </c>
      <c r="D13" s="5">
        <v>46031.04583333333</v>
      </c>
      <c r="E13" s="2">
        <v>2999.0</v>
      </c>
      <c r="F13" s="2" t="s">
        <v>96</v>
      </c>
      <c r="G13" s="2" t="s">
        <v>64</v>
      </c>
      <c r="H13" s="2">
        <v>44.0</v>
      </c>
      <c r="I13" s="3" t="str">
        <f>IFERROR(VLOOKUP($C13,Merchants!$A$1:$D$41,2,FALSE),"Merchant not found")</f>
        <v>Merchant_028</v>
      </c>
      <c r="J13" s="3" t="str">
        <f>IFERROR(VLOOKUP($C13,Merchants!$A$1:$D$41,3,FALSE),"Merchant not found")</f>
        <v>food_delivery</v>
      </c>
      <c r="K13" s="3" t="str">
        <f>IFERROR(VLOOKUP($C13,Merchants!$A$1:$D$41,4,FALSE),"Merchant not found")</f>
        <v>East</v>
      </c>
      <c r="L13" s="3">
        <f>IFERROR(HLOOKUP(F13,Fee_Lookup!$B$1:$E$2,2,FALSE),"Fee not found")</f>
        <v>1.8</v>
      </c>
      <c r="M13" s="3" t="str">
        <f>IF(AND(SUMIF(Transactions!$C$2:$C$548,C13,Transactions!$E$2:$E$548)&gt;5000,K13&lt;&gt;"East"),"High-Value Merchant Day","Normal")</f>
        <v>Normal</v>
      </c>
    </row>
    <row r="14">
      <c r="A14" s="2" t="s">
        <v>97</v>
      </c>
      <c r="B14" s="2">
        <v>311.0</v>
      </c>
      <c r="C14" s="2">
        <v>33.0</v>
      </c>
      <c r="D14" s="5">
        <v>46046.43541666667</v>
      </c>
      <c r="E14" s="2">
        <v>49.0</v>
      </c>
      <c r="F14" s="2" t="s">
        <v>35</v>
      </c>
      <c r="G14" s="2" t="s">
        <v>36</v>
      </c>
      <c r="H14" s="2">
        <v>14.0</v>
      </c>
      <c r="I14" s="3" t="str">
        <f>IFERROR(VLOOKUP($C14,Merchants!$A$1:$D$41,2,FALSE),"Merchant not found")</f>
        <v>Merchant_033</v>
      </c>
      <c r="J14" s="3" t="str">
        <f>IFERROR(VLOOKUP($C14,Merchants!$A$1:$D$41,3,FALSE),"Merchant not found")</f>
        <v>entertainment</v>
      </c>
      <c r="K14" s="3" t="str">
        <f>IFERROR(VLOOKUP($C14,Merchants!$A$1:$D$41,4,FALSE),"Merchant not found")</f>
        <v>East</v>
      </c>
      <c r="L14" s="3">
        <f>IFERROR(HLOOKUP(F14,Fee_Lookup!$B$1:$E$2,2,FALSE),"Fee not found")</f>
        <v>1</v>
      </c>
      <c r="M14" s="3" t="str">
        <f>IF(AND(SUMIF(Transactions!$C$2:$C$548,C14,Transactions!$E$2:$E$548)&gt;5000,K14&lt;&gt;"East"),"High-Value Merchant Day","Normal")</f>
        <v>Normal</v>
      </c>
    </row>
    <row r="15">
      <c r="A15" s="2" t="s">
        <v>98</v>
      </c>
      <c r="B15" s="2">
        <v>131.0</v>
      </c>
      <c r="C15" s="2">
        <v>3.0</v>
      </c>
      <c r="D15" s="5">
        <v>46035.75833333333</v>
      </c>
      <c r="E15" s="2">
        <v>49.0</v>
      </c>
      <c r="F15" s="2" t="s">
        <v>6</v>
      </c>
      <c r="G15" s="2" t="s">
        <v>36</v>
      </c>
      <c r="H15" s="2">
        <v>90.0</v>
      </c>
      <c r="I15" s="3" t="str">
        <f>IFERROR(VLOOKUP($C15,Merchants!$A$1:$D$41,2,FALSE),"Merchant not found")</f>
        <v>Merchant_003</v>
      </c>
      <c r="J15" s="3" t="str">
        <f>IFERROR(VLOOKUP($C15,Merchants!$A$1:$D$41,3,FALSE),"Merchant not found")</f>
        <v>entertainment</v>
      </c>
      <c r="K15" s="3" t="str">
        <f>IFERROR(VLOOKUP($C15,Merchants!$A$1:$D$41,4,FALSE),"Merchant not found")</f>
        <v>East</v>
      </c>
      <c r="L15" s="3">
        <f>IFERROR(HLOOKUP(F15,Fee_Lookup!$B$1:$E$2,2,FALSE),"Fee not found")</f>
        <v>0.5</v>
      </c>
      <c r="M15" s="3" t="str">
        <f>IF(AND(SUMIF(Transactions!$C$2:$C$548,C15,Transactions!$E$2:$E$548)&gt;5000,K15&lt;&gt;"East"),"High-Value Merchant Day","Normal")</f>
        <v>Normal</v>
      </c>
    </row>
    <row r="16">
      <c r="A16" s="2" t="s">
        <v>99</v>
      </c>
      <c r="B16" s="2">
        <v>276.0</v>
      </c>
      <c r="C16" s="2">
        <v>13.0</v>
      </c>
      <c r="D16" s="5">
        <v>46036.02291666667</v>
      </c>
      <c r="E16" s="2">
        <v>1499.0</v>
      </c>
      <c r="F16" s="2" t="s">
        <v>6</v>
      </c>
      <c r="G16" s="2" t="s">
        <v>36</v>
      </c>
      <c r="H16" s="2">
        <v>46.0</v>
      </c>
      <c r="I16" s="3" t="str">
        <f>IFERROR(VLOOKUP($C16,Merchants!$A$1:$D$41,2,FALSE),"Merchant not found")</f>
        <v>Merchant_013</v>
      </c>
      <c r="J16" s="3" t="str">
        <f>IFERROR(VLOOKUP($C16,Merchants!$A$1:$D$41,3,FALSE),"Merchant not found")</f>
        <v>ecommerce</v>
      </c>
      <c r="K16" s="3" t="str">
        <f>IFERROR(VLOOKUP($C16,Merchants!$A$1:$D$41,4,FALSE),"Merchant not found")</f>
        <v>North</v>
      </c>
      <c r="L16" s="3">
        <f>IFERROR(HLOOKUP(F16,Fee_Lookup!$B$1:$E$2,2,FALSE),"Fee not found")</f>
        <v>0.5</v>
      </c>
      <c r="M16" s="3" t="str">
        <f>IF(AND(SUMIF(Transactions!$C$2:$C$548,C16,Transactions!$E$2:$E$548)&gt;5000,K16&lt;&gt;"East"),"High-Value Merchant Day","Normal")</f>
        <v>High-Value Merchant Day</v>
      </c>
    </row>
    <row r="17">
      <c r="A17" s="2" t="s">
        <v>100</v>
      </c>
      <c r="B17" s="2">
        <v>170.0</v>
      </c>
      <c r="C17" s="2">
        <v>40.0</v>
      </c>
      <c r="D17" s="5">
        <v>46036.1125</v>
      </c>
      <c r="E17" s="2">
        <v>99.0</v>
      </c>
      <c r="F17" s="2" t="s">
        <v>6</v>
      </c>
      <c r="G17" s="2" t="s">
        <v>36</v>
      </c>
      <c r="H17" s="2">
        <v>40.0</v>
      </c>
      <c r="I17" s="3" t="str">
        <f>IFERROR(VLOOKUP($C17,Merchants!$A$1:$D$41,2,FALSE),"Merchant not found")</f>
        <v>Merchant_040</v>
      </c>
      <c r="J17" s="3" t="str">
        <f>IFERROR(VLOOKUP($C17,Merchants!$A$1:$D$41,3,FALSE),"Merchant not found")</f>
        <v>ecommerce</v>
      </c>
      <c r="K17" s="3" t="str">
        <f>IFERROR(VLOOKUP($C17,Merchants!$A$1:$D$41,4,FALSE),"Merchant not found")</f>
        <v>North</v>
      </c>
      <c r="L17" s="3">
        <f>IFERROR(HLOOKUP(F17,Fee_Lookup!$B$1:$E$2,2,FALSE),"Fee not found")</f>
        <v>0.5</v>
      </c>
      <c r="M17" s="3" t="str">
        <f>IF(AND(SUMIF(Transactions!$C$2:$C$548,C17,Transactions!$E$2:$E$548)&gt;5000,K17&lt;&gt;"East"),"High-Value Merchant Day","Normal")</f>
        <v>High-Value Merchant Day</v>
      </c>
    </row>
    <row r="18">
      <c r="A18" s="2" t="s">
        <v>101</v>
      </c>
      <c r="B18" s="2">
        <v>154.0</v>
      </c>
      <c r="C18" s="2">
        <v>33.0</v>
      </c>
      <c r="D18" s="5">
        <v>46044.15694444445</v>
      </c>
      <c r="E18" s="2">
        <v>99.0</v>
      </c>
      <c r="F18" s="2" t="s">
        <v>79</v>
      </c>
      <c r="G18" s="2" t="s">
        <v>36</v>
      </c>
      <c r="H18" s="2">
        <v>39.0</v>
      </c>
      <c r="I18" s="3" t="str">
        <f>IFERROR(VLOOKUP($C18,Merchants!$A$1:$D$41,2,FALSE),"Merchant not found")</f>
        <v>Merchant_033</v>
      </c>
      <c r="J18" s="3" t="str">
        <f>IFERROR(VLOOKUP($C18,Merchants!$A$1:$D$41,3,FALSE),"Merchant not found")</f>
        <v>entertainment</v>
      </c>
      <c r="K18" s="3" t="str">
        <f>IFERROR(VLOOKUP($C18,Merchants!$A$1:$D$41,4,FALSE),"Merchant not found")</f>
        <v>East</v>
      </c>
      <c r="L18" s="3">
        <f>IFERROR(HLOOKUP(F18,Fee_Lookup!$B$1:$E$2,2,FALSE),"Fee not found")</f>
        <v>1.5</v>
      </c>
      <c r="M18" s="3" t="str">
        <f>IF(AND(SUMIF(Transactions!$C$2:$C$548,C18,Transactions!$E$2:$E$548)&gt;5000,K18&lt;&gt;"East"),"High-Value Merchant Day","Normal")</f>
        <v>Normal</v>
      </c>
    </row>
    <row r="19">
      <c r="A19" s="2" t="s">
        <v>102</v>
      </c>
      <c r="B19" s="2">
        <v>207.0</v>
      </c>
      <c r="C19" s="2">
        <v>19.0</v>
      </c>
      <c r="D19" s="5">
        <v>46044.555555555555</v>
      </c>
      <c r="E19" s="2">
        <v>2999.0</v>
      </c>
      <c r="F19" s="2" t="s">
        <v>96</v>
      </c>
      <c r="G19" s="2" t="s">
        <v>36</v>
      </c>
      <c r="H19" s="2">
        <v>70.0</v>
      </c>
      <c r="I19" s="3" t="str">
        <f>IFERROR(VLOOKUP($C19,Merchants!$A$1:$D$41,2,FALSE),"Merchant not found")</f>
        <v>Merchant_019</v>
      </c>
      <c r="J19" s="3" t="str">
        <f>IFERROR(VLOOKUP($C19,Merchants!$A$1:$D$41,3,FALSE),"Merchant not found")</f>
        <v>recharge</v>
      </c>
      <c r="K19" s="3" t="str">
        <f>IFERROR(VLOOKUP($C19,Merchants!$A$1:$D$41,4,FALSE),"Merchant not found")</f>
        <v>North</v>
      </c>
      <c r="L19" s="3">
        <f>IFERROR(HLOOKUP(F19,Fee_Lookup!$B$1:$E$2,2,FALSE),"Fee not found")</f>
        <v>1.8</v>
      </c>
      <c r="M19" s="3" t="str">
        <f>IF(AND(SUMIF(Transactions!$C$2:$C$548,C19,Transactions!$E$2:$E$548)&gt;5000,K19&lt;&gt;"East"),"High-Value Merchant Day","Normal")</f>
        <v>High-Value Merchant Day</v>
      </c>
    </row>
    <row r="20">
      <c r="A20" s="2" t="s">
        <v>103</v>
      </c>
      <c r="B20" s="2">
        <v>341.0</v>
      </c>
      <c r="C20" s="2">
        <v>25.0</v>
      </c>
      <c r="D20" s="5">
        <v>46027.268055555556</v>
      </c>
      <c r="E20" s="2">
        <v>2999.0</v>
      </c>
      <c r="F20" s="2" t="s">
        <v>6</v>
      </c>
      <c r="G20" s="2" t="s">
        <v>36</v>
      </c>
      <c r="H20" s="2">
        <v>86.0</v>
      </c>
      <c r="I20" s="3" t="str">
        <f>IFERROR(VLOOKUP($C20,Merchants!$A$1:$D$41,2,FALSE),"Merchant not found")</f>
        <v>Merchant_025</v>
      </c>
      <c r="J20" s="3" t="str">
        <f>IFERROR(VLOOKUP($C20,Merchants!$A$1:$D$41,3,FALSE),"Merchant not found")</f>
        <v>grocery</v>
      </c>
      <c r="K20" s="3" t="str">
        <f>IFERROR(VLOOKUP($C20,Merchants!$A$1:$D$41,4,FALSE),"Merchant not found")</f>
        <v>East</v>
      </c>
      <c r="L20" s="3">
        <f>IFERROR(HLOOKUP(F20,Fee_Lookup!$B$1:$E$2,2,FALSE),"Fee not found")</f>
        <v>0.5</v>
      </c>
      <c r="M20" s="3" t="str">
        <f>IF(AND(SUMIF(Transactions!$C$2:$C$548,C20,Transactions!$E$2:$E$548)&gt;5000,K20&lt;&gt;"East"),"High-Value Merchant Day","Normal")</f>
        <v>Normal</v>
      </c>
    </row>
    <row r="21">
      <c r="A21" s="2" t="s">
        <v>104</v>
      </c>
      <c r="B21" s="2">
        <v>292.0</v>
      </c>
      <c r="C21" s="2">
        <v>20.0</v>
      </c>
      <c r="D21" s="5">
        <v>46046.23541666667</v>
      </c>
      <c r="E21" s="2">
        <v>49.0</v>
      </c>
      <c r="F21" s="2" t="s">
        <v>6</v>
      </c>
      <c r="G21" s="2" t="s">
        <v>36</v>
      </c>
      <c r="H21" s="2">
        <v>51.0</v>
      </c>
      <c r="I21" s="3" t="str">
        <f>IFERROR(VLOOKUP($C21,Merchants!$A$1:$D$41,2,FALSE),"Merchant not found")</f>
        <v>Merchant_020</v>
      </c>
      <c r="J21" s="3" t="str">
        <f>IFERROR(VLOOKUP($C21,Merchants!$A$1:$D$41,3,FALSE),"Merchant not found")</f>
        <v>entertainment</v>
      </c>
      <c r="K21" s="3" t="str">
        <f>IFERROR(VLOOKUP($C21,Merchants!$A$1:$D$41,4,FALSE),"Merchant not found")</f>
        <v>West</v>
      </c>
      <c r="L21" s="3">
        <f>IFERROR(HLOOKUP(F21,Fee_Lookup!$B$1:$E$2,2,FALSE),"Fee not found")</f>
        <v>0.5</v>
      </c>
      <c r="M21" s="3" t="str">
        <f>IF(AND(SUMIF(Transactions!$C$2:$C$548,C21,Transactions!$E$2:$E$548)&gt;5000,K21&lt;&gt;"East"),"High-Value Merchant Day","Normal")</f>
        <v>Normal</v>
      </c>
    </row>
    <row r="22">
      <c r="A22" s="2" t="s">
        <v>105</v>
      </c>
      <c r="B22" s="2">
        <v>147.0</v>
      </c>
      <c r="C22" s="2">
        <v>14.0</v>
      </c>
      <c r="D22" s="5">
        <v>46040.013194444444</v>
      </c>
      <c r="E22" s="2">
        <v>99.0</v>
      </c>
      <c r="F22" s="2" t="s">
        <v>96</v>
      </c>
      <c r="G22" s="2" t="s">
        <v>36</v>
      </c>
      <c r="H22" s="2">
        <v>55.0</v>
      </c>
      <c r="I22" s="3" t="str">
        <f>IFERROR(VLOOKUP($C22,Merchants!$A$1:$D$41,2,FALSE),"Merchant not found")</f>
        <v>Merchant_014</v>
      </c>
      <c r="J22" s="3" t="str">
        <f>IFERROR(VLOOKUP($C22,Merchants!$A$1:$D$41,3,FALSE),"Merchant not found")</f>
        <v>grocery</v>
      </c>
      <c r="K22" s="3" t="str">
        <f>IFERROR(VLOOKUP($C22,Merchants!$A$1:$D$41,4,FALSE),"Merchant not found")</f>
        <v>South</v>
      </c>
      <c r="L22" s="3">
        <f>IFERROR(HLOOKUP(F22,Fee_Lookup!$B$1:$E$2,2,FALSE),"Fee not found")</f>
        <v>1.8</v>
      </c>
      <c r="M22" s="3" t="str">
        <f>IF(AND(SUMIF(Transactions!$C$2:$C$548,C22,Transactions!$E$2:$E$548)&gt;5000,K22&lt;&gt;"East"),"High-Value Merchant Day","Normal")</f>
        <v>High-Value Merchant Day</v>
      </c>
    </row>
    <row r="23">
      <c r="A23" s="2" t="s">
        <v>106</v>
      </c>
      <c r="B23" s="2">
        <v>336.0</v>
      </c>
      <c r="C23" s="2">
        <v>21.0</v>
      </c>
      <c r="D23" s="5">
        <v>46048.77638888889</v>
      </c>
      <c r="E23" s="2">
        <v>99.0</v>
      </c>
      <c r="F23" s="2" t="s">
        <v>6</v>
      </c>
      <c r="G23" s="2" t="s">
        <v>36</v>
      </c>
      <c r="H23" s="2">
        <v>59.0</v>
      </c>
      <c r="I23" s="3" t="str">
        <f>IFERROR(VLOOKUP($C23,Merchants!$A$1:$D$41,2,FALSE),"Merchant not found")</f>
        <v>Merchant_021</v>
      </c>
      <c r="J23" s="3" t="str">
        <f>IFERROR(VLOOKUP($C23,Merchants!$A$1:$D$41,3,FALSE),"Merchant not found")</f>
        <v>food_delivery</v>
      </c>
      <c r="K23" s="3" t="str">
        <f>IFERROR(VLOOKUP($C23,Merchants!$A$1:$D$41,4,FALSE),"Merchant not found")</f>
        <v>North</v>
      </c>
      <c r="L23" s="3">
        <f>IFERROR(HLOOKUP(F23,Fee_Lookup!$B$1:$E$2,2,FALSE),"Fee not found")</f>
        <v>0.5</v>
      </c>
      <c r="M23" s="3" t="str">
        <f>IF(AND(SUMIF(Transactions!$C$2:$C$548,C23,Transactions!$E$2:$E$548)&gt;5000,K23&lt;&gt;"East"),"High-Value Merchant Day","Normal")</f>
        <v>High-Value Merchant Day</v>
      </c>
    </row>
    <row r="24">
      <c r="A24" s="2" t="s">
        <v>107</v>
      </c>
      <c r="B24" s="2">
        <v>110.0</v>
      </c>
      <c r="C24" s="2">
        <v>33.0</v>
      </c>
      <c r="D24" s="5">
        <v>46037.61319444444</v>
      </c>
      <c r="E24" s="2">
        <v>799.0</v>
      </c>
      <c r="F24" s="2" t="s">
        <v>6</v>
      </c>
      <c r="G24" s="2" t="s">
        <v>36</v>
      </c>
      <c r="H24" s="2">
        <v>60.0</v>
      </c>
      <c r="I24" s="3" t="str">
        <f>IFERROR(VLOOKUP($C24,Merchants!$A$1:$D$41,2,FALSE),"Merchant not found")</f>
        <v>Merchant_033</v>
      </c>
      <c r="J24" s="3" t="str">
        <f>IFERROR(VLOOKUP($C24,Merchants!$A$1:$D$41,3,FALSE),"Merchant not found")</f>
        <v>entertainment</v>
      </c>
      <c r="K24" s="3" t="str">
        <f>IFERROR(VLOOKUP($C24,Merchants!$A$1:$D$41,4,FALSE),"Merchant not found")</f>
        <v>East</v>
      </c>
      <c r="L24" s="3">
        <f>IFERROR(HLOOKUP(F24,Fee_Lookup!$B$1:$E$2,2,FALSE),"Fee not found")</f>
        <v>0.5</v>
      </c>
      <c r="M24" s="3" t="str">
        <f>IF(AND(SUMIF(Transactions!$C$2:$C$548,C24,Transactions!$E$2:$E$548)&gt;5000,K24&lt;&gt;"East"),"High-Value Merchant Day","Normal")</f>
        <v>Normal</v>
      </c>
    </row>
    <row r="25">
      <c r="A25" s="2" t="s">
        <v>108</v>
      </c>
      <c r="B25" s="2">
        <v>338.0</v>
      </c>
      <c r="C25" s="2">
        <v>6.0</v>
      </c>
      <c r="D25" s="5">
        <v>46048.96527777778</v>
      </c>
      <c r="E25" s="2">
        <v>799.0</v>
      </c>
      <c r="F25" s="2" t="s">
        <v>6</v>
      </c>
      <c r="G25" s="2" t="s">
        <v>62</v>
      </c>
      <c r="H25" s="2">
        <v>36.0</v>
      </c>
      <c r="I25" s="3" t="str">
        <f>IFERROR(VLOOKUP($C25,Merchants!$A$1:$D$41,2,FALSE),"Merchant not found")</f>
        <v>Merchant_006</v>
      </c>
      <c r="J25" s="3" t="str">
        <f>IFERROR(VLOOKUP($C25,Merchants!$A$1:$D$41,3,FALSE),"Merchant not found")</f>
        <v>entertainment</v>
      </c>
      <c r="K25" s="3" t="str">
        <f>IFERROR(VLOOKUP($C25,Merchants!$A$1:$D$41,4,FALSE),"Merchant not found")</f>
        <v>South</v>
      </c>
      <c r="L25" s="3">
        <f>IFERROR(HLOOKUP(F25,Fee_Lookup!$B$1:$E$2,2,FALSE),"Fee not found")</f>
        <v>0.5</v>
      </c>
      <c r="M25" s="3" t="str">
        <f>IF(AND(SUMIF(Transactions!$C$2:$C$548,C25,Transactions!$E$2:$E$548)&gt;5000,K25&lt;&gt;"East"),"High-Value Merchant Day","Normal")</f>
        <v>High-Value Merchant Day</v>
      </c>
    </row>
    <row r="26">
      <c r="A26" s="2" t="s">
        <v>109</v>
      </c>
      <c r="B26" s="2">
        <v>318.0</v>
      </c>
      <c r="C26" s="2">
        <v>22.0</v>
      </c>
      <c r="D26" s="5">
        <v>46039.90277777778</v>
      </c>
      <c r="E26" s="2">
        <v>799.0</v>
      </c>
      <c r="F26" s="2" t="s">
        <v>35</v>
      </c>
      <c r="G26" s="2" t="s">
        <v>36</v>
      </c>
      <c r="H26" s="2">
        <v>11.0</v>
      </c>
      <c r="I26" s="3" t="str">
        <f>IFERROR(VLOOKUP($C26,Merchants!$A$1:$D$41,2,FALSE),"Merchant not found")</f>
        <v>Merchant_022</v>
      </c>
      <c r="J26" s="3" t="str">
        <f>IFERROR(VLOOKUP($C26,Merchants!$A$1:$D$41,3,FALSE),"Merchant not found")</f>
        <v>ecommerce</v>
      </c>
      <c r="K26" s="3" t="str">
        <f>IFERROR(VLOOKUP($C26,Merchants!$A$1:$D$41,4,FALSE),"Merchant not found")</f>
        <v>West</v>
      </c>
      <c r="L26" s="3">
        <f>IFERROR(HLOOKUP(F26,Fee_Lookup!$B$1:$E$2,2,FALSE),"Fee not found")</f>
        <v>1</v>
      </c>
      <c r="M26" s="3" t="str">
        <f>IF(AND(SUMIF(Transactions!$C$2:$C$548,C26,Transactions!$E$2:$E$548)&gt;5000,K26&lt;&gt;"East"),"High-Value Merchant Day","Normal")</f>
        <v>High-Value Merchant Day</v>
      </c>
    </row>
    <row r="27">
      <c r="A27" s="2" t="s">
        <v>110</v>
      </c>
      <c r="B27" s="2">
        <v>159.0</v>
      </c>
      <c r="C27" s="2">
        <v>15.0</v>
      </c>
      <c r="D27" s="5">
        <v>46049.32152777778</v>
      </c>
      <c r="E27" s="2">
        <v>799.0</v>
      </c>
      <c r="F27" s="2" t="s">
        <v>6</v>
      </c>
      <c r="G27" s="2" t="s">
        <v>36</v>
      </c>
      <c r="H27" s="2">
        <v>25.0</v>
      </c>
      <c r="I27" s="3" t="str">
        <f>IFERROR(VLOOKUP($C27,Merchants!$A$1:$D$41,2,FALSE),"Merchant not found")</f>
        <v>Merchant_015</v>
      </c>
      <c r="J27" s="3" t="str">
        <f>IFERROR(VLOOKUP($C27,Merchants!$A$1:$D$41,3,FALSE),"Merchant not found")</f>
        <v>travel</v>
      </c>
      <c r="K27" s="3" t="str">
        <f>IFERROR(VLOOKUP($C27,Merchants!$A$1:$D$41,4,FALSE),"Merchant not found")</f>
        <v>West</v>
      </c>
      <c r="L27" s="3">
        <f>IFERROR(HLOOKUP(F27,Fee_Lookup!$B$1:$E$2,2,FALSE),"Fee not found")</f>
        <v>0.5</v>
      </c>
      <c r="M27" s="3" t="str">
        <f>IF(AND(SUMIF(Transactions!$C$2:$C$548,C27,Transactions!$E$2:$E$548)&gt;5000,K27&lt;&gt;"East"),"High-Value Merchant Day","Normal")</f>
        <v>High-Value Merchant Day</v>
      </c>
    </row>
    <row r="28">
      <c r="A28" s="2" t="s">
        <v>111</v>
      </c>
      <c r="B28" s="2">
        <v>126.0</v>
      </c>
      <c r="C28" s="2">
        <v>31.0</v>
      </c>
      <c r="D28" s="5">
        <v>46027.001388888886</v>
      </c>
      <c r="E28" s="2">
        <v>49.0</v>
      </c>
      <c r="F28" s="2" t="s">
        <v>96</v>
      </c>
      <c r="G28" s="2" t="s">
        <v>36</v>
      </c>
      <c r="H28" s="2">
        <v>78.0</v>
      </c>
      <c r="I28" s="3" t="str">
        <f>IFERROR(VLOOKUP($C28,Merchants!$A$1:$D$41,2,FALSE),"Merchant not found")</f>
        <v>Merchant_031</v>
      </c>
      <c r="J28" s="3" t="str">
        <f>IFERROR(VLOOKUP($C28,Merchants!$A$1:$D$41,3,FALSE),"Merchant not found")</f>
        <v>bill_payment</v>
      </c>
      <c r="K28" s="3" t="str">
        <f>IFERROR(VLOOKUP($C28,Merchants!$A$1:$D$41,4,FALSE),"Merchant not found")</f>
        <v>South</v>
      </c>
      <c r="L28" s="3">
        <f>IFERROR(HLOOKUP(F28,Fee_Lookup!$B$1:$E$2,2,FALSE),"Fee not found")</f>
        <v>1.8</v>
      </c>
      <c r="M28" s="3" t="str">
        <f>IF(AND(SUMIF(Transactions!$C$2:$C$548,C28,Transactions!$E$2:$E$548)&gt;5000,K28&lt;&gt;"East"),"High-Value Merchant Day","Normal")</f>
        <v>Normal</v>
      </c>
    </row>
    <row r="29">
      <c r="A29" s="2" t="s">
        <v>112</v>
      </c>
      <c r="B29" s="2">
        <v>213.0</v>
      </c>
      <c r="C29" s="2">
        <v>37.0</v>
      </c>
      <c r="D29" s="5">
        <v>46050.103472222225</v>
      </c>
      <c r="E29" s="2">
        <v>99.0</v>
      </c>
      <c r="F29" s="2" t="s">
        <v>6</v>
      </c>
      <c r="G29" s="2" t="s">
        <v>36</v>
      </c>
      <c r="H29" s="2">
        <v>24.0</v>
      </c>
      <c r="I29" s="3" t="str">
        <f>IFERROR(VLOOKUP($C29,Merchants!$A$1:$D$41,2,FALSE),"Merchant not found")</f>
        <v>Merchant_037</v>
      </c>
      <c r="J29" s="3" t="str">
        <f>IFERROR(VLOOKUP($C29,Merchants!$A$1:$D$41,3,FALSE),"Merchant not found")</f>
        <v>travel</v>
      </c>
      <c r="K29" s="3" t="str">
        <f>IFERROR(VLOOKUP($C29,Merchants!$A$1:$D$41,4,FALSE),"Merchant not found")</f>
        <v>North</v>
      </c>
      <c r="L29" s="3">
        <f>IFERROR(HLOOKUP(F29,Fee_Lookup!$B$1:$E$2,2,FALSE),"Fee not found")</f>
        <v>0.5</v>
      </c>
      <c r="M29" s="3" t="str">
        <f>IF(AND(SUMIF(Transactions!$C$2:$C$548,C29,Transactions!$E$2:$E$548)&gt;5000,K29&lt;&gt;"East"),"High-Value Merchant Day","Normal")</f>
        <v>High-Value Merchant Day</v>
      </c>
    </row>
    <row r="30">
      <c r="A30" s="2" t="s">
        <v>113</v>
      </c>
      <c r="B30" s="2">
        <v>254.0</v>
      </c>
      <c r="C30" s="2">
        <v>26.0</v>
      </c>
      <c r="D30" s="5">
        <v>46045.933333333334</v>
      </c>
      <c r="E30" s="2">
        <v>99.0</v>
      </c>
      <c r="F30" s="2" t="s">
        <v>35</v>
      </c>
      <c r="G30" s="2" t="s">
        <v>36</v>
      </c>
      <c r="H30" s="2">
        <v>31.0</v>
      </c>
      <c r="I30" s="3" t="str">
        <f>IFERROR(VLOOKUP($C30,Merchants!$A$1:$D$41,2,FALSE),"Merchant not found")</f>
        <v>Merchant_026</v>
      </c>
      <c r="J30" s="3" t="str">
        <f>IFERROR(VLOOKUP($C30,Merchants!$A$1:$D$41,3,FALSE),"Merchant not found")</f>
        <v>entertainment</v>
      </c>
      <c r="K30" s="3" t="str">
        <f>IFERROR(VLOOKUP($C30,Merchants!$A$1:$D$41,4,FALSE),"Merchant not found")</f>
        <v>West</v>
      </c>
      <c r="L30" s="3">
        <f>IFERROR(HLOOKUP(F30,Fee_Lookup!$B$1:$E$2,2,FALSE),"Fee not found")</f>
        <v>1</v>
      </c>
      <c r="M30" s="3" t="str">
        <f>IF(AND(SUMIF(Transactions!$C$2:$C$548,C30,Transactions!$E$2:$E$548)&gt;5000,K30&lt;&gt;"East"),"High-Value Merchant Day","Normal")</f>
        <v>High-Value Merchant Day</v>
      </c>
    </row>
    <row r="31">
      <c r="A31" s="2" t="s">
        <v>114</v>
      </c>
      <c r="B31" s="2">
        <v>3.0</v>
      </c>
      <c r="C31" s="2">
        <v>7.0</v>
      </c>
      <c r="D31" s="5">
        <v>46027.86388888889</v>
      </c>
      <c r="E31" s="2">
        <v>1499.0</v>
      </c>
      <c r="F31" s="2" t="s">
        <v>6</v>
      </c>
      <c r="G31" s="2" t="s">
        <v>36</v>
      </c>
      <c r="H31" s="2">
        <v>99.0</v>
      </c>
      <c r="I31" s="3" t="str">
        <f>IFERROR(VLOOKUP($C31,Merchants!$A$1:$D$41,2,FALSE),"Merchant not found")</f>
        <v>Merchant_007</v>
      </c>
      <c r="J31" s="3" t="str">
        <f>IFERROR(VLOOKUP($C31,Merchants!$A$1:$D$41,3,FALSE),"Merchant not found")</f>
        <v>bill_payment</v>
      </c>
      <c r="K31" s="3" t="str">
        <f>IFERROR(VLOOKUP($C31,Merchants!$A$1:$D$41,4,FALSE),"Merchant not found")</f>
        <v>South</v>
      </c>
      <c r="L31" s="3">
        <f>IFERROR(HLOOKUP(F31,Fee_Lookup!$B$1:$E$2,2,FALSE),"Fee not found")</f>
        <v>0.5</v>
      </c>
      <c r="M31" s="3" t="str">
        <f>IF(AND(SUMIF(Transactions!$C$2:$C$548,C31,Transactions!$E$2:$E$548)&gt;5000,K31&lt;&gt;"East"),"High-Value Merchant Day","Normal")</f>
        <v>High-Value Merchant Day</v>
      </c>
    </row>
    <row r="32">
      <c r="A32" s="2" t="s">
        <v>115</v>
      </c>
      <c r="B32" s="2">
        <v>266.0</v>
      </c>
      <c r="C32" s="2">
        <v>30.0</v>
      </c>
      <c r="D32" s="5">
        <v>46036.299305555556</v>
      </c>
      <c r="E32" s="2">
        <v>499.0</v>
      </c>
      <c r="F32" s="2" t="s">
        <v>96</v>
      </c>
      <c r="G32" s="2" t="s">
        <v>36</v>
      </c>
      <c r="H32" s="2">
        <v>6.0</v>
      </c>
      <c r="I32" s="3" t="str">
        <f>IFERROR(VLOOKUP($C32,Merchants!$A$1:$D$41,2,FALSE),"Merchant not found")</f>
        <v>Merchant_030</v>
      </c>
      <c r="J32" s="3" t="str">
        <f>IFERROR(VLOOKUP($C32,Merchants!$A$1:$D$41,3,FALSE),"Merchant not found")</f>
        <v>travel</v>
      </c>
      <c r="K32" s="3" t="str">
        <f>IFERROR(VLOOKUP($C32,Merchants!$A$1:$D$41,4,FALSE),"Merchant not found")</f>
        <v>West</v>
      </c>
      <c r="L32" s="3">
        <f>IFERROR(HLOOKUP(F32,Fee_Lookup!$B$1:$E$2,2,FALSE),"Fee not found")</f>
        <v>1.8</v>
      </c>
      <c r="M32" s="3" t="str">
        <f>IF(AND(SUMIF(Transactions!$C$2:$C$548,C32,Transactions!$E$2:$E$548)&gt;5000,K32&lt;&gt;"East"),"High-Value Merchant Day","Normal")</f>
        <v>High-Value Merchant Day</v>
      </c>
    </row>
    <row r="33">
      <c r="A33" s="2" t="s">
        <v>116</v>
      </c>
      <c r="B33" s="2">
        <v>63.0</v>
      </c>
      <c r="C33" s="2">
        <v>30.0</v>
      </c>
      <c r="D33" s="5">
        <v>46040.33194444444</v>
      </c>
      <c r="E33" s="2">
        <v>799.0</v>
      </c>
      <c r="F33" s="2" t="s">
        <v>6</v>
      </c>
      <c r="G33" s="2" t="s">
        <v>36</v>
      </c>
      <c r="H33" s="2">
        <v>17.0</v>
      </c>
      <c r="I33" s="3" t="str">
        <f>IFERROR(VLOOKUP($C33,Merchants!$A$1:$D$41,2,FALSE),"Merchant not found")</f>
        <v>Merchant_030</v>
      </c>
      <c r="J33" s="3" t="str">
        <f>IFERROR(VLOOKUP($C33,Merchants!$A$1:$D$41,3,FALSE),"Merchant not found")</f>
        <v>travel</v>
      </c>
      <c r="K33" s="3" t="str">
        <f>IFERROR(VLOOKUP($C33,Merchants!$A$1:$D$41,4,FALSE),"Merchant not found")</f>
        <v>West</v>
      </c>
      <c r="L33" s="3">
        <f>IFERROR(HLOOKUP(F33,Fee_Lookup!$B$1:$E$2,2,FALSE),"Fee not found")</f>
        <v>0.5</v>
      </c>
      <c r="M33" s="3" t="str">
        <f>IF(AND(SUMIF(Transactions!$C$2:$C$548,C33,Transactions!$E$2:$E$548)&gt;5000,K33&lt;&gt;"East"),"High-Value Merchant Day","Normal")</f>
        <v>High-Value Merchant Day</v>
      </c>
    </row>
    <row r="34">
      <c r="A34" s="2" t="s">
        <v>117</v>
      </c>
      <c r="B34" s="2">
        <v>272.0</v>
      </c>
      <c r="C34" s="2">
        <v>36.0</v>
      </c>
      <c r="D34" s="5">
        <v>46048.6125</v>
      </c>
      <c r="E34" s="2">
        <v>149.0</v>
      </c>
      <c r="F34" s="2" t="s">
        <v>6</v>
      </c>
      <c r="G34" s="2" t="s">
        <v>36</v>
      </c>
      <c r="H34" s="2">
        <v>76.0</v>
      </c>
      <c r="I34" s="3" t="str">
        <f>IFERROR(VLOOKUP($C34,Merchants!$A$1:$D$41,2,FALSE),"Merchant not found")</f>
        <v>Merchant_036</v>
      </c>
      <c r="J34" s="3" t="str">
        <f>IFERROR(VLOOKUP($C34,Merchants!$A$1:$D$41,3,FALSE),"Merchant not found")</f>
        <v>ecommerce</v>
      </c>
      <c r="K34" s="3" t="str">
        <f>IFERROR(VLOOKUP($C34,Merchants!$A$1:$D$41,4,FALSE),"Merchant not found")</f>
        <v>East</v>
      </c>
      <c r="L34" s="3">
        <f>IFERROR(HLOOKUP(F34,Fee_Lookup!$B$1:$E$2,2,FALSE),"Fee not found")</f>
        <v>0.5</v>
      </c>
      <c r="M34" s="3" t="str">
        <f>IF(AND(SUMIF(Transactions!$C$2:$C$548,C34,Transactions!$E$2:$E$548)&gt;5000,K34&lt;&gt;"East"),"High-Value Merchant Day","Normal")</f>
        <v>Normal</v>
      </c>
    </row>
    <row r="35">
      <c r="A35" s="2" t="s">
        <v>118</v>
      </c>
      <c r="B35" s="2">
        <v>259.0</v>
      </c>
      <c r="C35" s="2">
        <v>28.0</v>
      </c>
      <c r="D35" s="5">
        <v>46033.61041666667</v>
      </c>
      <c r="E35" s="2">
        <v>49.0</v>
      </c>
      <c r="F35" s="2" t="s">
        <v>35</v>
      </c>
      <c r="G35" s="2" t="s">
        <v>36</v>
      </c>
      <c r="H35" s="2">
        <v>70.0</v>
      </c>
      <c r="I35" s="3" t="str">
        <f>IFERROR(VLOOKUP($C35,Merchants!$A$1:$D$41,2,FALSE),"Merchant not found")</f>
        <v>Merchant_028</v>
      </c>
      <c r="J35" s="3" t="str">
        <f>IFERROR(VLOOKUP($C35,Merchants!$A$1:$D$41,3,FALSE),"Merchant not found")</f>
        <v>food_delivery</v>
      </c>
      <c r="K35" s="3" t="str">
        <f>IFERROR(VLOOKUP($C35,Merchants!$A$1:$D$41,4,FALSE),"Merchant not found")</f>
        <v>East</v>
      </c>
      <c r="L35" s="3">
        <f>IFERROR(HLOOKUP(F35,Fee_Lookup!$B$1:$E$2,2,FALSE),"Fee not found")</f>
        <v>1</v>
      </c>
      <c r="M35" s="3" t="str">
        <f>IF(AND(SUMIF(Transactions!$C$2:$C$548,C35,Transactions!$E$2:$E$548)&gt;5000,K35&lt;&gt;"East"),"High-Value Merchant Day","Normal")</f>
        <v>Normal</v>
      </c>
    </row>
    <row r="36">
      <c r="A36" s="2" t="s">
        <v>119</v>
      </c>
      <c r="B36" s="2">
        <v>244.0</v>
      </c>
      <c r="C36" s="2">
        <v>29.0</v>
      </c>
      <c r="D36" s="5">
        <v>46037.24097222222</v>
      </c>
      <c r="E36" s="2">
        <v>299.0</v>
      </c>
      <c r="F36" s="2" t="s">
        <v>79</v>
      </c>
      <c r="G36" s="2" t="s">
        <v>36</v>
      </c>
      <c r="H36" s="2">
        <v>33.0</v>
      </c>
      <c r="I36" s="3" t="str">
        <f>IFERROR(VLOOKUP($C36,Merchants!$A$1:$D$41,2,FALSE),"Merchant not found")</f>
        <v>Merchant_029</v>
      </c>
      <c r="J36" s="3" t="str">
        <f>IFERROR(VLOOKUP($C36,Merchants!$A$1:$D$41,3,FALSE),"Merchant not found")</f>
        <v>ecommerce</v>
      </c>
      <c r="K36" s="3" t="str">
        <f>IFERROR(VLOOKUP($C36,Merchants!$A$1:$D$41,4,FALSE),"Merchant not found")</f>
        <v>North</v>
      </c>
      <c r="L36" s="3">
        <f>IFERROR(HLOOKUP(F36,Fee_Lookup!$B$1:$E$2,2,FALSE),"Fee not found")</f>
        <v>1.5</v>
      </c>
      <c r="M36" s="3" t="str">
        <f>IF(AND(SUMIF(Transactions!$C$2:$C$548,C36,Transactions!$E$2:$E$548)&gt;5000,K36&lt;&gt;"East"),"High-Value Merchant Day","Normal")</f>
        <v>High-Value Merchant Day</v>
      </c>
    </row>
    <row r="37">
      <c r="A37" s="2" t="s">
        <v>120</v>
      </c>
      <c r="B37" s="2">
        <v>327.0</v>
      </c>
      <c r="C37" s="2">
        <v>18.0</v>
      </c>
      <c r="D37" s="5">
        <v>46047.32847222222</v>
      </c>
      <c r="E37" s="2">
        <v>149.0</v>
      </c>
      <c r="F37" s="2" t="s">
        <v>96</v>
      </c>
      <c r="G37" s="2" t="s">
        <v>36</v>
      </c>
      <c r="H37" s="2">
        <v>98.0</v>
      </c>
      <c r="I37" s="3" t="str">
        <f>IFERROR(VLOOKUP($C37,Merchants!$A$1:$D$41,2,FALSE),"Merchant not found")</f>
        <v>Merchant_018</v>
      </c>
      <c r="J37" s="3" t="str">
        <f>IFERROR(VLOOKUP($C37,Merchants!$A$1:$D$41,3,FALSE),"Merchant not found")</f>
        <v>grocery</v>
      </c>
      <c r="K37" s="3" t="str">
        <f>IFERROR(VLOOKUP($C37,Merchants!$A$1:$D$41,4,FALSE),"Merchant not found")</f>
        <v>South</v>
      </c>
      <c r="L37" s="3">
        <f>IFERROR(HLOOKUP(F37,Fee_Lookup!$B$1:$E$2,2,FALSE),"Fee not found")</f>
        <v>1.8</v>
      </c>
      <c r="M37" s="3" t="str">
        <f>IF(AND(SUMIF(Transactions!$C$2:$C$548,C37,Transactions!$E$2:$E$548)&gt;5000,K37&lt;&gt;"East"),"High-Value Merchant Day","Normal")</f>
        <v>High-Value Merchant Day</v>
      </c>
    </row>
    <row r="38">
      <c r="A38" s="2" t="s">
        <v>121</v>
      </c>
      <c r="B38" s="2">
        <v>321.0</v>
      </c>
      <c r="C38" s="2">
        <v>16.0</v>
      </c>
      <c r="D38" s="5">
        <v>46047.68819444445</v>
      </c>
      <c r="E38" s="2">
        <v>49.0</v>
      </c>
      <c r="F38" s="2" t="s">
        <v>6</v>
      </c>
      <c r="G38" s="2" t="s">
        <v>36</v>
      </c>
      <c r="H38" s="2">
        <v>35.0</v>
      </c>
      <c r="I38" s="3" t="str">
        <f>IFERROR(VLOOKUP($C38,Merchants!$A$1:$D$41,2,FALSE),"Merchant not found")</f>
        <v>Merchant_016</v>
      </c>
      <c r="J38" s="3" t="str">
        <f>IFERROR(VLOOKUP($C38,Merchants!$A$1:$D$41,3,FALSE),"Merchant not found")</f>
        <v>entertainment</v>
      </c>
      <c r="K38" s="3" t="str">
        <f>IFERROR(VLOOKUP($C38,Merchants!$A$1:$D$41,4,FALSE),"Merchant not found")</f>
        <v>North</v>
      </c>
      <c r="L38" s="3">
        <f>IFERROR(HLOOKUP(F38,Fee_Lookup!$B$1:$E$2,2,FALSE),"Fee not found")</f>
        <v>0.5</v>
      </c>
      <c r="M38" s="3" t="str">
        <f>IF(AND(SUMIF(Transactions!$C$2:$C$548,C38,Transactions!$E$2:$E$548)&gt;5000,K38&lt;&gt;"East"),"High-Value Merchant Day","Normal")</f>
        <v>High-Value Merchant Day</v>
      </c>
    </row>
    <row r="39">
      <c r="A39" s="2" t="s">
        <v>122</v>
      </c>
      <c r="B39" s="2">
        <v>147.0</v>
      </c>
      <c r="C39" s="2">
        <v>16.0</v>
      </c>
      <c r="D39" s="5">
        <v>46037.114583333336</v>
      </c>
      <c r="E39" s="2">
        <v>2999.0</v>
      </c>
      <c r="F39" s="2" t="s">
        <v>96</v>
      </c>
      <c r="G39" s="2" t="s">
        <v>36</v>
      </c>
      <c r="H39" s="2">
        <v>34.0</v>
      </c>
      <c r="I39" s="3" t="str">
        <f>IFERROR(VLOOKUP($C39,Merchants!$A$1:$D$41,2,FALSE),"Merchant not found")</f>
        <v>Merchant_016</v>
      </c>
      <c r="J39" s="3" t="str">
        <f>IFERROR(VLOOKUP($C39,Merchants!$A$1:$D$41,3,FALSE),"Merchant not found")</f>
        <v>entertainment</v>
      </c>
      <c r="K39" s="3" t="str">
        <f>IFERROR(VLOOKUP($C39,Merchants!$A$1:$D$41,4,FALSE),"Merchant not found")</f>
        <v>North</v>
      </c>
      <c r="L39" s="3">
        <f>IFERROR(HLOOKUP(F39,Fee_Lookup!$B$1:$E$2,2,FALSE),"Fee not found")</f>
        <v>1.8</v>
      </c>
      <c r="M39" s="3" t="str">
        <f>IF(AND(SUMIF(Transactions!$C$2:$C$548,C39,Transactions!$E$2:$E$548)&gt;5000,K39&lt;&gt;"East"),"High-Value Merchant Day","Normal")</f>
        <v>High-Value Merchant Day</v>
      </c>
    </row>
    <row r="40">
      <c r="A40" s="2" t="s">
        <v>123</v>
      </c>
      <c r="B40" s="2">
        <v>277.0</v>
      </c>
      <c r="C40" s="2">
        <v>6.0</v>
      </c>
      <c r="D40" s="5">
        <v>46033.45625</v>
      </c>
      <c r="E40" s="2">
        <v>1499.0</v>
      </c>
      <c r="F40" s="2" t="s">
        <v>96</v>
      </c>
      <c r="G40" s="2" t="s">
        <v>36</v>
      </c>
      <c r="H40" s="2">
        <v>17.0</v>
      </c>
      <c r="I40" s="3" t="str">
        <f>IFERROR(VLOOKUP($C40,Merchants!$A$1:$D$41,2,FALSE),"Merchant not found")</f>
        <v>Merchant_006</v>
      </c>
      <c r="J40" s="3" t="str">
        <f>IFERROR(VLOOKUP($C40,Merchants!$A$1:$D$41,3,FALSE),"Merchant not found")</f>
        <v>entertainment</v>
      </c>
      <c r="K40" s="3" t="str">
        <f>IFERROR(VLOOKUP($C40,Merchants!$A$1:$D$41,4,FALSE),"Merchant not found")</f>
        <v>South</v>
      </c>
      <c r="L40" s="3">
        <f>IFERROR(HLOOKUP(F40,Fee_Lookup!$B$1:$E$2,2,FALSE),"Fee not found")</f>
        <v>1.8</v>
      </c>
      <c r="M40" s="3" t="str">
        <f>IF(AND(SUMIF(Transactions!$C$2:$C$548,C40,Transactions!$E$2:$E$548)&gt;5000,K40&lt;&gt;"East"),"High-Value Merchant Day","Normal")</f>
        <v>High-Value Merchant Day</v>
      </c>
    </row>
    <row r="41">
      <c r="A41" s="2" t="s">
        <v>124</v>
      </c>
      <c r="B41" s="2">
        <v>79.0</v>
      </c>
      <c r="C41" s="2">
        <v>14.0</v>
      </c>
      <c r="D41" s="5">
        <v>46027.308333333334</v>
      </c>
      <c r="E41" s="2">
        <v>1499.0</v>
      </c>
      <c r="F41" s="2" t="s">
        <v>6</v>
      </c>
      <c r="G41" s="2" t="s">
        <v>36</v>
      </c>
      <c r="H41" s="2">
        <v>8.0</v>
      </c>
      <c r="I41" s="3" t="str">
        <f>IFERROR(VLOOKUP($C41,Merchants!$A$1:$D$41,2,FALSE),"Merchant not found")</f>
        <v>Merchant_014</v>
      </c>
      <c r="J41" s="3" t="str">
        <f>IFERROR(VLOOKUP($C41,Merchants!$A$1:$D$41,3,FALSE),"Merchant not found")</f>
        <v>grocery</v>
      </c>
      <c r="K41" s="3" t="str">
        <f>IFERROR(VLOOKUP($C41,Merchants!$A$1:$D$41,4,FALSE),"Merchant not found")</f>
        <v>South</v>
      </c>
      <c r="L41" s="3">
        <f>IFERROR(HLOOKUP(F41,Fee_Lookup!$B$1:$E$2,2,FALSE),"Fee not found")</f>
        <v>0.5</v>
      </c>
      <c r="M41" s="3" t="str">
        <f>IF(AND(SUMIF(Transactions!$C$2:$C$548,C41,Transactions!$E$2:$E$548)&gt;5000,K41&lt;&gt;"East"),"High-Value Merchant Day","Normal")</f>
        <v>High-Value Merchant Day</v>
      </c>
    </row>
    <row r="42">
      <c r="A42" s="2" t="s">
        <v>125</v>
      </c>
      <c r="B42" s="2">
        <v>278.0</v>
      </c>
      <c r="C42" s="2">
        <v>30.0</v>
      </c>
      <c r="D42" s="5">
        <v>46036.55625</v>
      </c>
      <c r="E42" s="2">
        <v>1499.0</v>
      </c>
      <c r="F42" s="2" t="s">
        <v>6</v>
      </c>
      <c r="G42" s="2" t="s">
        <v>36</v>
      </c>
      <c r="H42" s="2">
        <v>53.0</v>
      </c>
      <c r="I42" s="3" t="str">
        <f>IFERROR(VLOOKUP($C42,Merchants!$A$1:$D$41,2,FALSE),"Merchant not found")</f>
        <v>Merchant_030</v>
      </c>
      <c r="J42" s="3" t="str">
        <f>IFERROR(VLOOKUP($C42,Merchants!$A$1:$D$41,3,FALSE),"Merchant not found")</f>
        <v>travel</v>
      </c>
      <c r="K42" s="3" t="str">
        <f>IFERROR(VLOOKUP($C42,Merchants!$A$1:$D$41,4,FALSE),"Merchant not found")</f>
        <v>West</v>
      </c>
      <c r="L42" s="3">
        <f>IFERROR(HLOOKUP(F42,Fee_Lookup!$B$1:$E$2,2,FALSE),"Fee not found")</f>
        <v>0.5</v>
      </c>
      <c r="M42" s="3" t="str">
        <f>IF(AND(SUMIF(Transactions!$C$2:$C$548,C42,Transactions!$E$2:$E$548)&gt;5000,K42&lt;&gt;"East"),"High-Value Merchant Day","Normal")</f>
        <v>High-Value Merchant Day</v>
      </c>
    </row>
    <row r="43">
      <c r="A43" s="2" t="s">
        <v>126</v>
      </c>
      <c r="B43" s="2">
        <v>216.0</v>
      </c>
      <c r="C43" s="2">
        <v>25.0</v>
      </c>
      <c r="D43" s="5">
        <v>46024.28680555556</v>
      </c>
      <c r="E43" s="2">
        <v>99.0</v>
      </c>
      <c r="F43" s="2" t="s">
        <v>6</v>
      </c>
      <c r="G43" s="2" t="s">
        <v>36</v>
      </c>
      <c r="H43" s="2">
        <v>98.0</v>
      </c>
      <c r="I43" s="3" t="str">
        <f>IFERROR(VLOOKUP($C43,Merchants!$A$1:$D$41,2,FALSE),"Merchant not found")</f>
        <v>Merchant_025</v>
      </c>
      <c r="J43" s="3" t="str">
        <f>IFERROR(VLOOKUP($C43,Merchants!$A$1:$D$41,3,FALSE),"Merchant not found")</f>
        <v>grocery</v>
      </c>
      <c r="K43" s="3" t="str">
        <f>IFERROR(VLOOKUP($C43,Merchants!$A$1:$D$41,4,FALSE),"Merchant not found")</f>
        <v>East</v>
      </c>
      <c r="L43" s="3">
        <f>IFERROR(HLOOKUP(F43,Fee_Lookup!$B$1:$E$2,2,FALSE),"Fee not found")</f>
        <v>0.5</v>
      </c>
      <c r="M43" s="3" t="str">
        <f>IF(AND(SUMIF(Transactions!$C$2:$C$548,C43,Transactions!$E$2:$E$548)&gt;5000,K43&lt;&gt;"East"),"High-Value Merchant Day","Normal")</f>
        <v>Normal</v>
      </c>
    </row>
    <row r="44">
      <c r="A44" s="2" t="s">
        <v>127</v>
      </c>
      <c r="B44" s="2">
        <v>295.0</v>
      </c>
      <c r="C44" s="2">
        <v>25.0</v>
      </c>
      <c r="D44" s="5">
        <v>46041.91736111111</v>
      </c>
      <c r="E44" s="2">
        <v>1499.0</v>
      </c>
      <c r="F44" s="2" t="s">
        <v>6</v>
      </c>
      <c r="G44" s="2" t="s">
        <v>36</v>
      </c>
      <c r="H44" s="2">
        <v>61.0</v>
      </c>
      <c r="I44" s="3" t="str">
        <f>IFERROR(VLOOKUP($C44,Merchants!$A$1:$D$41,2,FALSE),"Merchant not found")</f>
        <v>Merchant_025</v>
      </c>
      <c r="J44" s="3" t="str">
        <f>IFERROR(VLOOKUP($C44,Merchants!$A$1:$D$41,3,FALSE),"Merchant not found")</f>
        <v>grocery</v>
      </c>
      <c r="K44" s="3" t="str">
        <f>IFERROR(VLOOKUP($C44,Merchants!$A$1:$D$41,4,FALSE),"Merchant not found")</f>
        <v>East</v>
      </c>
      <c r="L44" s="3">
        <f>IFERROR(HLOOKUP(F44,Fee_Lookup!$B$1:$E$2,2,FALSE),"Fee not found")</f>
        <v>0.5</v>
      </c>
      <c r="M44" s="3" t="str">
        <f>IF(AND(SUMIF(Transactions!$C$2:$C$548,C44,Transactions!$E$2:$E$548)&gt;5000,K44&lt;&gt;"East"),"High-Value Merchant Day","Normal")</f>
        <v>Normal</v>
      </c>
    </row>
    <row r="45">
      <c r="A45" s="2" t="s">
        <v>128</v>
      </c>
      <c r="B45" s="2">
        <v>200.0</v>
      </c>
      <c r="C45" s="2">
        <v>27.0</v>
      </c>
      <c r="D45" s="5">
        <v>46023.47152777778</v>
      </c>
      <c r="E45" s="2">
        <v>149.0</v>
      </c>
      <c r="F45" s="2" t="s">
        <v>6</v>
      </c>
      <c r="G45" s="2" t="s">
        <v>36</v>
      </c>
      <c r="H45" s="2">
        <v>68.0</v>
      </c>
      <c r="I45" s="3" t="str">
        <f>IFERROR(VLOOKUP($C45,Merchants!$A$1:$D$41,2,FALSE),"Merchant not found")</f>
        <v>Merchant_027</v>
      </c>
      <c r="J45" s="3" t="str">
        <f>IFERROR(VLOOKUP($C45,Merchants!$A$1:$D$41,3,FALSE),"Merchant not found")</f>
        <v>recharge</v>
      </c>
      <c r="K45" s="3" t="str">
        <f>IFERROR(VLOOKUP($C45,Merchants!$A$1:$D$41,4,FALSE),"Merchant not found")</f>
        <v>South</v>
      </c>
      <c r="L45" s="3">
        <f>IFERROR(HLOOKUP(F45,Fee_Lookup!$B$1:$E$2,2,FALSE),"Fee not found")</f>
        <v>0.5</v>
      </c>
      <c r="M45" s="3" t="str">
        <f>IF(AND(SUMIF(Transactions!$C$2:$C$548,C45,Transactions!$E$2:$E$548)&gt;5000,K45&lt;&gt;"East"),"High-Value Merchant Day","Normal")</f>
        <v>High-Value Merchant Day</v>
      </c>
    </row>
    <row r="46">
      <c r="A46" s="2" t="s">
        <v>129</v>
      </c>
      <c r="B46" s="2">
        <v>309.0</v>
      </c>
      <c r="C46" s="2">
        <v>15.0</v>
      </c>
      <c r="D46" s="5">
        <v>46046.981944444444</v>
      </c>
      <c r="E46" s="2">
        <v>99.0</v>
      </c>
      <c r="F46" s="2" t="s">
        <v>79</v>
      </c>
      <c r="G46" s="2" t="s">
        <v>36</v>
      </c>
      <c r="H46" s="2">
        <v>62.0</v>
      </c>
      <c r="I46" s="3" t="str">
        <f>IFERROR(VLOOKUP($C46,Merchants!$A$1:$D$41,2,FALSE),"Merchant not found")</f>
        <v>Merchant_015</v>
      </c>
      <c r="J46" s="3" t="str">
        <f>IFERROR(VLOOKUP($C46,Merchants!$A$1:$D$41,3,FALSE),"Merchant not found")</f>
        <v>travel</v>
      </c>
      <c r="K46" s="3" t="str">
        <f>IFERROR(VLOOKUP($C46,Merchants!$A$1:$D$41,4,FALSE),"Merchant not found")</f>
        <v>West</v>
      </c>
      <c r="L46" s="3">
        <f>IFERROR(HLOOKUP(F46,Fee_Lookup!$B$1:$E$2,2,FALSE),"Fee not found")</f>
        <v>1.5</v>
      </c>
      <c r="M46" s="3" t="str">
        <f>IF(AND(SUMIF(Transactions!$C$2:$C$548,C46,Transactions!$E$2:$E$548)&gt;5000,K46&lt;&gt;"East"),"High-Value Merchant Day","Normal")</f>
        <v>High-Value Merchant Day</v>
      </c>
    </row>
    <row r="47">
      <c r="A47" s="2" t="s">
        <v>130</v>
      </c>
      <c r="B47" s="2">
        <v>249.0</v>
      </c>
      <c r="C47" s="2">
        <v>2.0</v>
      </c>
      <c r="D47" s="5">
        <v>46030.35208333333</v>
      </c>
      <c r="E47" s="2">
        <v>299.0</v>
      </c>
      <c r="F47" s="2" t="s">
        <v>35</v>
      </c>
      <c r="G47" s="2" t="s">
        <v>36</v>
      </c>
      <c r="H47" s="2">
        <v>49.0</v>
      </c>
      <c r="I47" s="3" t="str">
        <f>IFERROR(VLOOKUP($C47,Merchants!$A$1:$D$41,2,FALSE),"Merchant not found")</f>
        <v>Merchant_002</v>
      </c>
      <c r="J47" s="3" t="str">
        <f>IFERROR(VLOOKUP($C47,Merchants!$A$1:$D$41,3,FALSE),"Merchant not found")</f>
        <v>recharge</v>
      </c>
      <c r="K47" s="3" t="str">
        <f>IFERROR(VLOOKUP($C47,Merchants!$A$1:$D$41,4,FALSE),"Merchant not found")</f>
        <v>South</v>
      </c>
      <c r="L47" s="3">
        <f>IFERROR(HLOOKUP(F47,Fee_Lookup!$B$1:$E$2,2,FALSE),"Fee not found")</f>
        <v>1</v>
      </c>
      <c r="M47" s="3" t="str">
        <f>IF(AND(SUMIF(Transactions!$C$2:$C$548,C47,Transactions!$E$2:$E$548)&gt;5000,K47&lt;&gt;"East"),"High-Value Merchant Day","Normal")</f>
        <v>Normal</v>
      </c>
    </row>
    <row r="48">
      <c r="A48" s="2" t="s">
        <v>131</v>
      </c>
      <c r="B48" s="2">
        <v>208.0</v>
      </c>
      <c r="C48" s="2">
        <v>11.0</v>
      </c>
      <c r="D48" s="5">
        <v>46033.904861111114</v>
      </c>
      <c r="E48" s="2">
        <v>4999.0</v>
      </c>
      <c r="F48" s="2" t="s">
        <v>79</v>
      </c>
      <c r="G48" s="2" t="s">
        <v>36</v>
      </c>
      <c r="H48" s="2">
        <v>59.0</v>
      </c>
      <c r="I48" s="3" t="str">
        <f>IFERROR(VLOOKUP($C48,Merchants!$A$1:$D$41,2,FALSE),"Merchant not found")</f>
        <v>Merchant_011</v>
      </c>
      <c r="J48" s="3" t="str">
        <f>IFERROR(VLOOKUP($C48,Merchants!$A$1:$D$41,3,FALSE),"Merchant not found")</f>
        <v>recharge</v>
      </c>
      <c r="K48" s="3" t="str">
        <f>IFERROR(VLOOKUP($C48,Merchants!$A$1:$D$41,4,FALSE),"Merchant not found")</f>
        <v>West</v>
      </c>
      <c r="L48" s="3">
        <f>IFERROR(HLOOKUP(F48,Fee_Lookup!$B$1:$E$2,2,FALSE),"Fee not found")</f>
        <v>1.5</v>
      </c>
      <c r="M48" s="3" t="str">
        <f>IF(AND(SUMIF(Transactions!$C$2:$C$548,C48,Transactions!$E$2:$E$548)&gt;5000,K48&lt;&gt;"East"),"High-Value Merchant Day","Normal")</f>
        <v>High-Value Merchant Day</v>
      </c>
    </row>
    <row r="49">
      <c r="A49" s="2" t="s">
        <v>132</v>
      </c>
      <c r="B49" s="2">
        <v>274.0</v>
      </c>
      <c r="C49" s="2">
        <v>2.0</v>
      </c>
      <c r="D49" s="5">
        <v>46052.19375</v>
      </c>
      <c r="E49" s="2">
        <v>299.0</v>
      </c>
      <c r="F49" s="2" t="s">
        <v>6</v>
      </c>
      <c r="G49" s="2" t="s">
        <v>36</v>
      </c>
      <c r="H49" s="2">
        <v>50.0</v>
      </c>
      <c r="I49" s="3" t="str">
        <f>IFERROR(VLOOKUP($C49,Merchants!$A$1:$D$41,2,FALSE),"Merchant not found")</f>
        <v>Merchant_002</v>
      </c>
      <c r="J49" s="3" t="str">
        <f>IFERROR(VLOOKUP($C49,Merchants!$A$1:$D$41,3,FALSE),"Merchant not found")</f>
        <v>recharge</v>
      </c>
      <c r="K49" s="3" t="str">
        <f>IFERROR(VLOOKUP($C49,Merchants!$A$1:$D$41,4,FALSE),"Merchant not found")</f>
        <v>South</v>
      </c>
      <c r="L49" s="3">
        <f>IFERROR(HLOOKUP(F49,Fee_Lookup!$B$1:$E$2,2,FALSE),"Fee not found")</f>
        <v>0.5</v>
      </c>
      <c r="M49" s="3" t="str">
        <f>IF(AND(SUMIF(Transactions!$C$2:$C$548,C49,Transactions!$E$2:$E$548)&gt;5000,K49&lt;&gt;"East"),"High-Value Merchant Day","Normal")</f>
        <v>Normal</v>
      </c>
    </row>
    <row r="50">
      <c r="A50" s="2" t="s">
        <v>133</v>
      </c>
      <c r="B50" s="2">
        <v>14.0</v>
      </c>
      <c r="C50" s="2">
        <v>6.0</v>
      </c>
      <c r="D50" s="5">
        <v>46041.77916666667</v>
      </c>
      <c r="E50" s="2">
        <v>49.0</v>
      </c>
      <c r="F50" s="2" t="s">
        <v>35</v>
      </c>
      <c r="G50" s="2" t="s">
        <v>36</v>
      </c>
      <c r="H50" s="2">
        <v>82.0</v>
      </c>
      <c r="I50" s="3" t="str">
        <f>IFERROR(VLOOKUP($C50,Merchants!$A$1:$D$41,2,FALSE),"Merchant not found")</f>
        <v>Merchant_006</v>
      </c>
      <c r="J50" s="3" t="str">
        <f>IFERROR(VLOOKUP($C50,Merchants!$A$1:$D$41,3,FALSE),"Merchant not found")</f>
        <v>entertainment</v>
      </c>
      <c r="K50" s="3" t="str">
        <f>IFERROR(VLOOKUP($C50,Merchants!$A$1:$D$41,4,FALSE),"Merchant not found")</f>
        <v>South</v>
      </c>
      <c r="L50" s="3">
        <f>IFERROR(HLOOKUP(F50,Fee_Lookup!$B$1:$E$2,2,FALSE),"Fee not found")</f>
        <v>1</v>
      </c>
      <c r="M50" s="3" t="str">
        <f>IF(AND(SUMIF(Transactions!$C$2:$C$548,C50,Transactions!$E$2:$E$548)&gt;5000,K50&lt;&gt;"East"),"High-Value Merchant Day","Normal")</f>
        <v>High-Value Merchant Day</v>
      </c>
    </row>
    <row r="51">
      <c r="A51" s="2" t="s">
        <v>134</v>
      </c>
      <c r="B51" s="2">
        <v>237.0</v>
      </c>
      <c r="C51" s="2">
        <v>12.0</v>
      </c>
      <c r="D51" s="5">
        <v>46036.20486111111</v>
      </c>
      <c r="E51" s="2">
        <v>49.0</v>
      </c>
      <c r="F51" s="2" t="s">
        <v>6</v>
      </c>
      <c r="G51" s="2" t="s">
        <v>36</v>
      </c>
      <c r="H51" s="2">
        <v>6.0</v>
      </c>
      <c r="I51" s="3" t="str">
        <f>IFERROR(VLOOKUP($C51,Merchants!$A$1:$D$41,2,FALSE),"Merchant not found")</f>
        <v>Merchant_012</v>
      </c>
      <c r="J51" s="3" t="str">
        <f>IFERROR(VLOOKUP($C51,Merchants!$A$1:$D$41,3,FALSE),"Merchant not found")</f>
        <v>food_delivery</v>
      </c>
      <c r="K51" s="3" t="str">
        <f>IFERROR(VLOOKUP($C51,Merchants!$A$1:$D$41,4,FALSE),"Merchant not found")</f>
        <v>South</v>
      </c>
      <c r="L51" s="3">
        <f>IFERROR(HLOOKUP(F51,Fee_Lookup!$B$1:$E$2,2,FALSE),"Fee not found")</f>
        <v>0.5</v>
      </c>
      <c r="M51" s="3" t="str">
        <f>IF(AND(SUMIF(Transactions!$C$2:$C$548,C51,Transactions!$E$2:$E$548)&gt;5000,K51&lt;&gt;"East"),"High-Value Merchant Day","Normal")</f>
        <v>High-Value Merchant Day</v>
      </c>
    </row>
    <row r="52">
      <c r="A52" s="2" t="s">
        <v>135</v>
      </c>
      <c r="B52" s="2">
        <v>109.0</v>
      </c>
      <c r="C52" s="2">
        <v>30.0</v>
      </c>
      <c r="D52" s="5">
        <v>46031.51388888889</v>
      </c>
      <c r="E52" s="2">
        <v>99.0</v>
      </c>
      <c r="F52" s="2" t="s">
        <v>6</v>
      </c>
      <c r="G52" s="2" t="s">
        <v>36</v>
      </c>
      <c r="H52" s="2">
        <v>41.0</v>
      </c>
      <c r="I52" s="3" t="str">
        <f>IFERROR(VLOOKUP($C52,Merchants!$A$1:$D$41,2,FALSE),"Merchant not found")</f>
        <v>Merchant_030</v>
      </c>
      <c r="J52" s="3" t="str">
        <f>IFERROR(VLOOKUP($C52,Merchants!$A$1:$D$41,3,FALSE),"Merchant not found")</f>
        <v>travel</v>
      </c>
      <c r="K52" s="3" t="str">
        <f>IFERROR(VLOOKUP($C52,Merchants!$A$1:$D$41,4,FALSE),"Merchant not found")</f>
        <v>West</v>
      </c>
      <c r="L52" s="3">
        <f>IFERROR(HLOOKUP(F52,Fee_Lookup!$B$1:$E$2,2,FALSE),"Fee not found")</f>
        <v>0.5</v>
      </c>
      <c r="M52" s="3" t="str">
        <f>IF(AND(SUMIF(Transactions!$C$2:$C$548,C52,Transactions!$E$2:$E$548)&gt;5000,K52&lt;&gt;"East"),"High-Value Merchant Day","Normal")</f>
        <v>High-Value Merchant Day</v>
      </c>
    </row>
    <row r="53">
      <c r="A53" s="2" t="s">
        <v>136</v>
      </c>
      <c r="B53" s="2">
        <v>216.0</v>
      </c>
      <c r="C53" s="2">
        <v>17.0</v>
      </c>
      <c r="D53" s="5">
        <v>46033.51180555556</v>
      </c>
      <c r="E53" s="2">
        <v>4999.0</v>
      </c>
      <c r="F53" s="2" t="s">
        <v>6</v>
      </c>
      <c r="G53" s="2" t="s">
        <v>36</v>
      </c>
      <c r="H53" s="2">
        <v>10.0</v>
      </c>
      <c r="I53" s="3" t="str">
        <f>IFERROR(VLOOKUP($C53,Merchants!$A$1:$D$41,2,FALSE),"Merchant not found")</f>
        <v>Merchant_017</v>
      </c>
      <c r="J53" s="3" t="str">
        <f>IFERROR(VLOOKUP($C53,Merchants!$A$1:$D$41,3,FALSE),"Merchant not found")</f>
        <v>bill_payment</v>
      </c>
      <c r="K53" s="3" t="str">
        <f>IFERROR(VLOOKUP($C53,Merchants!$A$1:$D$41,4,FALSE),"Merchant not found")</f>
        <v>East</v>
      </c>
      <c r="L53" s="3">
        <f>IFERROR(HLOOKUP(F53,Fee_Lookup!$B$1:$E$2,2,FALSE),"Fee not found")</f>
        <v>0.5</v>
      </c>
      <c r="M53" s="3" t="str">
        <f>IF(AND(SUMIF(Transactions!$C$2:$C$548,C53,Transactions!$E$2:$E$548)&gt;5000,K53&lt;&gt;"East"),"High-Value Merchant Day","Normal")</f>
        <v>Normal</v>
      </c>
    </row>
    <row r="54">
      <c r="A54" s="2" t="s">
        <v>137</v>
      </c>
      <c r="B54" s="2">
        <v>277.0</v>
      </c>
      <c r="C54" s="2">
        <v>4.0</v>
      </c>
      <c r="D54" s="5">
        <v>46038.032638888886</v>
      </c>
      <c r="E54" s="2">
        <v>799.0</v>
      </c>
      <c r="F54" s="2" t="s">
        <v>6</v>
      </c>
      <c r="G54" s="2" t="s">
        <v>36</v>
      </c>
      <c r="H54" s="2">
        <v>44.0</v>
      </c>
      <c r="I54" s="3" t="str">
        <f>IFERROR(VLOOKUP($C54,Merchants!$A$1:$D$41,2,FALSE),"Merchant not found")</f>
        <v>Merchant_004</v>
      </c>
      <c r="J54" s="3" t="str">
        <f>IFERROR(VLOOKUP($C54,Merchants!$A$1:$D$41,3,FALSE),"Merchant not found")</f>
        <v>grocery</v>
      </c>
      <c r="K54" s="3" t="str">
        <f>IFERROR(VLOOKUP($C54,Merchants!$A$1:$D$41,4,FALSE),"Merchant not found")</f>
        <v>West</v>
      </c>
      <c r="L54" s="3">
        <f>IFERROR(HLOOKUP(F54,Fee_Lookup!$B$1:$E$2,2,FALSE),"Fee not found")</f>
        <v>0.5</v>
      </c>
      <c r="M54" s="3" t="str">
        <f>IF(AND(SUMIF(Transactions!$C$2:$C$548,C54,Transactions!$E$2:$E$548)&gt;5000,K54&lt;&gt;"East"),"High-Value Merchant Day","Normal")</f>
        <v>High-Value Merchant Day</v>
      </c>
    </row>
    <row r="55">
      <c r="A55" s="2" t="s">
        <v>138</v>
      </c>
      <c r="B55" s="2">
        <v>334.0</v>
      </c>
      <c r="C55" s="2">
        <v>3.0</v>
      </c>
      <c r="D55" s="5">
        <v>46030.83611111111</v>
      </c>
      <c r="E55" s="2">
        <v>149.0</v>
      </c>
      <c r="F55" s="2" t="s">
        <v>35</v>
      </c>
      <c r="G55" s="2" t="s">
        <v>36</v>
      </c>
      <c r="H55" s="2">
        <v>96.0</v>
      </c>
      <c r="I55" s="3" t="str">
        <f>IFERROR(VLOOKUP($C55,Merchants!$A$1:$D$41,2,FALSE),"Merchant not found")</f>
        <v>Merchant_003</v>
      </c>
      <c r="J55" s="3" t="str">
        <f>IFERROR(VLOOKUP($C55,Merchants!$A$1:$D$41,3,FALSE),"Merchant not found")</f>
        <v>entertainment</v>
      </c>
      <c r="K55" s="3" t="str">
        <f>IFERROR(VLOOKUP($C55,Merchants!$A$1:$D$41,4,FALSE),"Merchant not found")</f>
        <v>East</v>
      </c>
      <c r="L55" s="3">
        <f>IFERROR(HLOOKUP(F55,Fee_Lookup!$B$1:$E$2,2,FALSE),"Fee not found")</f>
        <v>1</v>
      </c>
      <c r="M55" s="3" t="str">
        <f>IF(AND(SUMIF(Transactions!$C$2:$C$548,C55,Transactions!$E$2:$E$548)&gt;5000,K55&lt;&gt;"East"),"High-Value Merchant Day","Normal")</f>
        <v>Normal</v>
      </c>
    </row>
    <row r="56">
      <c r="A56" s="2" t="s">
        <v>139</v>
      </c>
      <c r="B56" s="2">
        <v>11.0</v>
      </c>
      <c r="C56" s="2">
        <v>40.0</v>
      </c>
      <c r="D56" s="5">
        <v>46023.3</v>
      </c>
      <c r="E56" s="2">
        <v>299.0</v>
      </c>
      <c r="F56" s="2" t="s">
        <v>6</v>
      </c>
      <c r="G56" s="2" t="s">
        <v>36</v>
      </c>
      <c r="H56" s="2">
        <v>19.0</v>
      </c>
      <c r="I56" s="3" t="str">
        <f>IFERROR(VLOOKUP($C56,Merchants!$A$1:$D$41,2,FALSE),"Merchant not found")</f>
        <v>Merchant_040</v>
      </c>
      <c r="J56" s="3" t="str">
        <f>IFERROR(VLOOKUP($C56,Merchants!$A$1:$D$41,3,FALSE),"Merchant not found")</f>
        <v>ecommerce</v>
      </c>
      <c r="K56" s="3" t="str">
        <f>IFERROR(VLOOKUP($C56,Merchants!$A$1:$D$41,4,FALSE),"Merchant not found")</f>
        <v>North</v>
      </c>
      <c r="L56" s="3">
        <f>IFERROR(HLOOKUP(F56,Fee_Lookup!$B$1:$E$2,2,FALSE),"Fee not found")</f>
        <v>0.5</v>
      </c>
      <c r="M56" s="3" t="str">
        <f>IF(AND(SUMIF(Transactions!$C$2:$C$548,C56,Transactions!$E$2:$E$548)&gt;5000,K56&lt;&gt;"East"),"High-Value Merchant Day","Normal")</f>
        <v>High-Value Merchant Day</v>
      </c>
    </row>
    <row r="57">
      <c r="A57" s="2" t="s">
        <v>140</v>
      </c>
      <c r="B57" s="2">
        <v>343.0</v>
      </c>
      <c r="C57" s="2">
        <v>8.0</v>
      </c>
      <c r="D57" s="5">
        <v>46030.1875</v>
      </c>
      <c r="E57" s="2">
        <v>99.0</v>
      </c>
      <c r="F57" s="2" t="s">
        <v>6</v>
      </c>
      <c r="G57" s="2" t="s">
        <v>36</v>
      </c>
      <c r="H57" s="2">
        <v>72.0</v>
      </c>
      <c r="I57" s="3" t="str">
        <f>IFERROR(VLOOKUP($C57,Merchants!$A$1:$D$41,2,FALSE),"Merchant not found")</f>
        <v>Merchant_008</v>
      </c>
      <c r="J57" s="3" t="str">
        <f>IFERROR(VLOOKUP($C57,Merchants!$A$1:$D$41,3,FALSE),"Merchant not found")</f>
        <v>travel</v>
      </c>
      <c r="K57" s="3" t="str">
        <f>IFERROR(VLOOKUP($C57,Merchants!$A$1:$D$41,4,FALSE),"Merchant not found")</f>
        <v>North</v>
      </c>
      <c r="L57" s="3">
        <f>IFERROR(HLOOKUP(F57,Fee_Lookup!$B$1:$E$2,2,FALSE),"Fee not found")</f>
        <v>0.5</v>
      </c>
      <c r="M57" s="3" t="str">
        <f>IF(AND(SUMIF(Transactions!$C$2:$C$548,C57,Transactions!$E$2:$E$548)&gt;5000,K57&lt;&gt;"East"),"High-Value Merchant Day","Normal")</f>
        <v>High-Value Merchant Day</v>
      </c>
    </row>
    <row r="58">
      <c r="A58" s="2" t="s">
        <v>141</v>
      </c>
      <c r="B58" s="2">
        <v>132.0</v>
      </c>
      <c r="C58" s="2">
        <v>24.0</v>
      </c>
      <c r="D58" s="5">
        <v>46029.61388888889</v>
      </c>
      <c r="E58" s="2">
        <v>299.0</v>
      </c>
      <c r="F58" s="2" t="s">
        <v>35</v>
      </c>
      <c r="G58" s="2" t="s">
        <v>36</v>
      </c>
      <c r="H58" s="2">
        <v>21.0</v>
      </c>
      <c r="I58" s="3" t="str">
        <f>IFERROR(VLOOKUP($C58,Merchants!$A$1:$D$41,2,FALSE),"Merchant not found")</f>
        <v>Merchant_024</v>
      </c>
      <c r="J58" s="3" t="str">
        <f>IFERROR(VLOOKUP($C58,Merchants!$A$1:$D$41,3,FALSE),"Merchant not found")</f>
        <v>bill_payment</v>
      </c>
      <c r="K58" s="3" t="str">
        <f>IFERROR(VLOOKUP($C58,Merchants!$A$1:$D$41,4,FALSE),"Merchant not found")</f>
        <v>North</v>
      </c>
      <c r="L58" s="3">
        <f>IFERROR(HLOOKUP(F58,Fee_Lookup!$B$1:$E$2,2,FALSE),"Fee not found")</f>
        <v>1</v>
      </c>
      <c r="M58" s="3" t="str">
        <f>IF(AND(SUMIF(Transactions!$C$2:$C$548,C58,Transactions!$E$2:$E$548)&gt;5000,K58&lt;&gt;"East"),"High-Value Merchant Day","Normal")</f>
        <v>Normal</v>
      </c>
    </row>
    <row r="59">
      <c r="A59" s="2" t="s">
        <v>142</v>
      </c>
      <c r="B59" s="2">
        <v>59.0</v>
      </c>
      <c r="C59" s="2">
        <v>11.0</v>
      </c>
      <c r="D59" s="5">
        <v>46042.82430555556</v>
      </c>
      <c r="E59" s="2">
        <v>299.0</v>
      </c>
      <c r="F59" s="2" t="s">
        <v>6</v>
      </c>
      <c r="G59" s="2" t="s">
        <v>36</v>
      </c>
      <c r="H59" s="2">
        <v>39.0</v>
      </c>
      <c r="I59" s="3" t="str">
        <f>IFERROR(VLOOKUP($C59,Merchants!$A$1:$D$41,2,FALSE),"Merchant not found")</f>
        <v>Merchant_011</v>
      </c>
      <c r="J59" s="3" t="str">
        <f>IFERROR(VLOOKUP($C59,Merchants!$A$1:$D$41,3,FALSE),"Merchant not found")</f>
        <v>recharge</v>
      </c>
      <c r="K59" s="3" t="str">
        <f>IFERROR(VLOOKUP($C59,Merchants!$A$1:$D$41,4,FALSE),"Merchant not found")</f>
        <v>West</v>
      </c>
      <c r="L59" s="3">
        <f>IFERROR(HLOOKUP(F59,Fee_Lookup!$B$1:$E$2,2,FALSE),"Fee not found")</f>
        <v>0.5</v>
      </c>
      <c r="M59" s="3" t="str">
        <f>IF(AND(SUMIF(Transactions!$C$2:$C$548,C59,Transactions!$E$2:$E$548)&gt;5000,K59&lt;&gt;"East"),"High-Value Merchant Day","Normal")</f>
        <v>High-Value Merchant Day</v>
      </c>
    </row>
    <row r="60">
      <c r="A60" s="2" t="s">
        <v>143</v>
      </c>
      <c r="B60" s="2">
        <v>160.0</v>
      </c>
      <c r="C60" s="2">
        <v>37.0</v>
      </c>
      <c r="D60" s="5">
        <v>46026.75069444445</v>
      </c>
      <c r="E60" s="2">
        <v>49.0</v>
      </c>
      <c r="F60" s="2" t="s">
        <v>35</v>
      </c>
      <c r="G60" s="2" t="s">
        <v>36</v>
      </c>
      <c r="H60" s="2">
        <v>86.0</v>
      </c>
      <c r="I60" s="3" t="str">
        <f>IFERROR(VLOOKUP($C60,Merchants!$A$1:$D$41,2,FALSE),"Merchant not found")</f>
        <v>Merchant_037</v>
      </c>
      <c r="J60" s="3" t="str">
        <f>IFERROR(VLOOKUP($C60,Merchants!$A$1:$D$41,3,FALSE),"Merchant not found")</f>
        <v>travel</v>
      </c>
      <c r="K60" s="3" t="str">
        <f>IFERROR(VLOOKUP($C60,Merchants!$A$1:$D$41,4,FALSE),"Merchant not found")</f>
        <v>North</v>
      </c>
      <c r="L60" s="3">
        <f>IFERROR(HLOOKUP(F60,Fee_Lookup!$B$1:$E$2,2,FALSE),"Fee not found")</f>
        <v>1</v>
      </c>
      <c r="M60" s="3" t="str">
        <f>IF(AND(SUMIF(Transactions!$C$2:$C$548,C60,Transactions!$E$2:$E$548)&gt;5000,K60&lt;&gt;"East"),"High-Value Merchant Day","Normal")</f>
        <v>High-Value Merchant Day</v>
      </c>
    </row>
    <row r="61">
      <c r="A61" s="2" t="s">
        <v>144</v>
      </c>
      <c r="B61" s="2">
        <v>102.0</v>
      </c>
      <c r="C61" s="2">
        <v>5.0</v>
      </c>
      <c r="D61" s="5">
        <v>46052.51736111111</v>
      </c>
      <c r="E61" s="2">
        <v>2999.0</v>
      </c>
      <c r="F61" s="2" t="s">
        <v>6</v>
      </c>
      <c r="G61" s="2" t="s">
        <v>36</v>
      </c>
      <c r="H61" s="2">
        <v>75.0</v>
      </c>
      <c r="I61" s="3" t="str">
        <f>IFERROR(VLOOKUP($C61,Merchants!$A$1:$D$41,2,FALSE),"Merchant not found")</f>
        <v>Merchant_005</v>
      </c>
      <c r="J61" s="3" t="str">
        <f>IFERROR(VLOOKUP($C61,Merchants!$A$1:$D$41,3,FALSE),"Merchant not found")</f>
        <v>food_delivery</v>
      </c>
      <c r="K61" s="3" t="str">
        <f>IFERROR(VLOOKUP($C61,Merchants!$A$1:$D$41,4,FALSE),"Merchant not found")</f>
        <v>West</v>
      </c>
      <c r="L61" s="3">
        <f>IFERROR(HLOOKUP(F61,Fee_Lookup!$B$1:$E$2,2,FALSE),"Fee not found")</f>
        <v>0.5</v>
      </c>
      <c r="M61" s="3" t="str">
        <f>IF(AND(SUMIF(Transactions!$C$2:$C$548,C61,Transactions!$E$2:$E$548)&gt;5000,K61&lt;&gt;"East"),"High-Value Merchant Day","Normal")</f>
        <v>High-Value Merchant Day</v>
      </c>
    </row>
    <row r="62">
      <c r="A62" s="2" t="s">
        <v>145</v>
      </c>
      <c r="B62" s="2">
        <v>53.0</v>
      </c>
      <c r="C62" s="2">
        <v>20.0</v>
      </c>
      <c r="D62" s="5">
        <v>46045.84375</v>
      </c>
      <c r="E62" s="2">
        <v>49.0</v>
      </c>
      <c r="F62" s="2" t="s">
        <v>79</v>
      </c>
      <c r="G62" s="2" t="s">
        <v>36</v>
      </c>
      <c r="H62" s="2">
        <v>87.0</v>
      </c>
      <c r="I62" s="3" t="str">
        <f>IFERROR(VLOOKUP($C62,Merchants!$A$1:$D$41,2,FALSE),"Merchant not found")</f>
        <v>Merchant_020</v>
      </c>
      <c r="J62" s="3" t="str">
        <f>IFERROR(VLOOKUP($C62,Merchants!$A$1:$D$41,3,FALSE),"Merchant not found")</f>
        <v>entertainment</v>
      </c>
      <c r="K62" s="3" t="str">
        <f>IFERROR(VLOOKUP($C62,Merchants!$A$1:$D$41,4,FALSE),"Merchant not found")</f>
        <v>West</v>
      </c>
      <c r="L62" s="3">
        <f>IFERROR(HLOOKUP(F62,Fee_Lookup!$B$1:$E$2,2,FALSE),"Fee not found")</f>
        <v>1.5</v>
      </c>
      <c r="M62" s="3" t="str">
        <f>IF(AND(SUMIF(Transactions!$C$2:$C$548,C62,Transactions!$E$2:$E$548)&gt;5000,K62&lt;&gt;"East"),"High-Value Merchant Day","Normal")</f>
        <v>Normal</v>
      </c>
    </row>
    <row r="63">
      <c r="A63" s="2" t="s">
        <v>146</v>
      </c>
      <c r="B63" s="2">
        <v>290.0</v>
      </c>
      <c r="C63" s="2">
        <v>3.0</v>
      </c>
      <c r="D63" s="5">
        <v>46042.15972222222</v>
      </c>
      <c r="E63" s="2">
        <v>99.0</v>
      </c>
      <c r="F63" s="2" t="s">
        <v>35</v>
      </c>
      <c r="G63" s="2" t="s">
        <v>36</v>
      </c>
      <c r="H63" s="2">
        <v>44.0</v>
      </c>
      <c r="I63" s="3" t="str">
        <f>IFERROR(VLOOKUP($C63,Merchants!$A$1:$D$41,2,FALSE),"Merchant not found")</f>
        <v>Merchant_003</v>
      </c>
      <c r="J63" s="3" t="str">
        <f>IFERROR(VLOOKUP($C63,Merchants!$A$1:$D$41,3,FALSE),"Merchant not found")</f>
        <v>entertainment</v>
      </c>
      <c r="K63" s="3" t="str">
        <f>IFERROR(VLOOKUP($C63,Merchants!$A$1:$D$41,4,FALSE),"Merchant not found")</f>
        <v>East</v>
      </c>
      <c r="L63" s="3">
        <f>IFERROR(HLOOKUP(F63,Fee_Lookup!$B$1:$E$2,2,FALSE),"Fee not found")</f>
        <v>1</v>
      </c>
      <c r="M63" s="3" t="str">
        <f>IF(AND(SUMIF(Transactions!$C$2:$C$548,C63,Transactions!$E$2:$E$548)&gt;5000,K63&lt;&gt;"East"),"High-Value Merchant Day","Normal")</f>
        <v>Normal</v>
      </c>
    </row>
    <row r="64">
      <c r="A64" s="2" t="s">
        <v>147</v>
      </c>
      <c r="B64" s="2">
        <v>190.0</v>
      </c>
      <c r="C64" s="2">
        <v>5.0</v>
      </c>
      <c r="D64" s="5">
        <v>46040.57083333333</v>
      </c>
      <c r="E64" s="2">
        <v>299.0</v>
      </c>
      <c r="F64" s="2" t="s">
        <v>6</v>
      </c>
      <c r="G64" s="2" t="s">
        <v>36</v>
      </c>
      <c r="H64" s="2">
        <v>64.0</v>
      </c>
      <c r="I64" s="3" t="str">
        <f>IFERROR(VLOOKUP($C64,Merchants!$A$1:$D$41,2,FALSE),"Merchant not found")</f>
        <v>Merchant_005</v>
      </c>
      <c r="J64" s="3" t="str">
        <f>IFERROR(VLOOKUP($C64,Merchants!$A$1:$D$41,3,FALSE),"Merchant not found")</f>
        <v>food_delivery</v>
      </c>
      <c r="K64" s="3" t="str">
        <f>IFERROR(VLOOKUP($C64,Merchants!$A$1:$D$41,4,FALSE),"Merchant not found")</f>
        <v>West</v>
      </c>
      <c r="L64" s="3">
        <f>IFERROR(HLOOKUP(F64,Fee_Lookup!$B$1:$E$2,2,FALSE),"Fee not found")</f>
        <v>0.5</v>
      </c>
      <c r="M64" s="3" t="str">
        <f>IF(AND(SUMIF(Transactions!$C$2:$C$548,C64,Transactions!$E$2:$E$548)&gt;5000,K64&lt;&gt;"East"),"High-Value Merchant Day","Normal")</f>
        <v>High-Value Merchant Day</v>
      </c>
    </row>
    <row r="65">
      <c r="A65" s="2" t="s">
        <v>148</v>
      </c>
      <c r="B65" s="2">
        <v>216.0</v>
      </c>
      <c r="C65" s="2">
        <v>32.0</v>
      </c>
      <c r="D65" s="5">
        <v>46043.416666666664</v>
      </c>
      <c r="E65" s="2">
        <v>49.0</v>
      </c>
      <c r="F65" s="2" t="s">
        <v>96</v>
      </c>
      <c r="G65" s="2" t="s">
        <v>36</v>
      </c>
      <c r="H65" s="2">
        <v>13.0</v>
      </c>
      <c r="I65" s="3" t="str">
        <f>IFERROR(VLOOKUP($C65,Merchants!$A$1:$D$41,2,FALSE),"Merchant not found")</f>
        <v>Merchant_032</v>
      </c>
      <c r="J65" s="3" t="str">
        <f>IFERROR(VLOOKUP($C65,Merchants!$A$1:$D$41,3,FALSE),"Merchant not found")</f>
        <v>grocery</v>
      </c>
      <c r="K65" s="3" t="str">
        <f>IFERROR(VLOOKUP($C65,Merchants!$A$1:$D$41,4,FALSE),"Merchant not found")</f>
        <v>North</v>
      </c>
      <c r="L65" s="3">
        <f>IFERROR(HLOOKUP(F65,Fee_Lookup!$B$1:$E$2,2,FALSE),"Fee not found")</f>
        <v>1.8</v>
      </c>
      <c r="M65" s="3" t="str">
        <f>IF(AND(SUMIF(Transactions!$C$2:$C$548,C65,Transactions!$E$2:$E$548)&gt;5000,K65&lt;&gt;"East"),"High-Value Merchant Day","Normal")</f>
        <v>High-Value Merchant Day</v>
      </c>
    </row>
    <row r="66">
      <c r="A66" s="2" t="s">
        <v>149</v>
      </c>
      <c r="B66" s="2">
        <v>236.0</v>
      </c>
      <c r="C66" s="2">
        <v>10.0</v>
      </c>
      <c r="D66" s="5">
        <v>46036.48611111111</v>
      </c>
      <c r="E66" s="2">
        <v>499.0</v>
      </c>
      <c r="F66" s="2" t="s">
        <v>6</v>
      </c>
      <c r="G66" s="2" t="s">
        <v>36</v>
      </c>
      <c r="H66" s="2">
        <v>55.0</v>
      </c>
      <c r="I66" s="3" t="str">
        <f>IFERROR(VLOOKUP($C66,Merchants!$A$1:$D$41,2,FALSE),"Merchant not found")</f>
        <v>Merchant_010</v>
      </c>
      <c r="J66" s="3" t="str">
        <f>IFERROR(VLOOKUP($C66,Merchants!$A$1:$D$41,3,FALSE),"Merchant not found")</f>
        <v>grocery</v>
      </c>
      <c r="K66" s="3" t="str">
        <f>IFERROR(VLOOKUP($C66,Merchants!$A$1:$D$41,4,FALSE),"Merchant not found")</f>
        <v>East</v>
      </c>
      <c r="L66" s="3">
        <f>IFERROR(HLOOKUP(F66,Fee_Lookup!$B$1:$E$2,2,FALSE),"Fee not found")</f>
        <v>0.5</v>
      </c>
      <c r="M66" s="3" t="str">
        <f>IF(AND(SUMIF(Transactions!$C$2:$C$548,C66,Transactions!$E$2:$E$548)&gt;5000,K66&lt;&gt;"East"),"High-Value Merchant Day","Normal")</f>
        <v>Normal</v>
      </c>
    </row>
    <row r="67">
      <c r="A67" s="2" t="s">
        <v>150</v>
      </c>
      <c r="B67" s="2">
        <v>334.0</v>
      </c>
      <c r="C67" s="2">
        <v>18.0</v>
      </c>
      <c r="D67" s="5">
        <v>46028.98125</v>
      </c>
      <c r="E67" s="2">
        <v>499.0</v>
      </c>
      <c r="F67" s="2" t="s">
        <v>96</v>
      </c>
      <c r="G67" s="2" t="s">
        <v>36</v>
      </c>
      <c r="H67" s="2">
        <v>78.0</v>
      </c>
      <c r="I67" s="3" t="str">
        <f>IFERROR(VLOOKUP($C67,Merchants!$A$1:$D$41,2,FALSE),"Merchant not found")</f>
        <v>Merchant_018</v>
      </c>
      <c r="J67" s="3" t="str">
        <f>IFERROR(VLOOKUP($C67,Merchants!$A$1:$D$41,3,FALSE),"Merchant not found")</f>
        <v>grocery</v>
      </c>
      <c r="K67" s="3" t="str">
        <f>IFERROR(VLOOKUP($C67,Merchants!$A$1:$D$41,4,FALSE),"Merchant not found")</f>
        <v>South</v>
      </c>
      <c r="L67" s="3">
        <f>IFERROR(HLOOKUP(F67,Fee_Lookup!$B$1:$E$2,2,FALSE),"Fee not found")</f>
        <v>1.8</v>
      </c>
      <c r="M67" s="3" t="str">
        <f>IF(AND(SUMIF(Transactions!$C$2:$C$548,C67,Transactions!$E$2:$E$548)&gt;5000,K67&lt;&gt;"East"),"High-Value Merchant Day","Normal")</f>
        <v>High-Value Merchant Day</v>
      </c>
    </row>
    <row r="68">
      <c r="A68" s="2" t="s">
        <v>151</v>
      </c>
      <c r="B68" s="2">
        <v>248.0</v>
      </c>
      <c r="C68" s="2">
        <v>30.0</v>
      </c>
      <c r="D68" s="5">
        <v>46048.74236111111</v>
      </c>
      <c r="E68" s="2">
        <v>799.0</v>
      </c>
      <c r="F68" s="2" t="s">
        <v>35</v>
      </c>
      <c r="G68" s="2" t="s">
        <v>36</v>
      </c>
      <c r="H68" s="2">
        <v>55.0</v>
      </c>
      <c r="I68" s="3" t="str">
        <f>IFERROR(VLOOKUP($C68,Merchants!$A$1:$D$41,2,FALSE),"Merchant not found")</f>
        <v>Merchant_030</v>
      </c>
      <c r="J68" s="3" t="str">
        <f>IFERROR(VLOOKUP($C68,Merchants!$A$1:$D$41,3,FALSE),"Merchant not found")</f>
        <v>travel</v>
      </c>
      <c r="K68" s="3" t="str">
        <f>IFERROR(VLOOKUP($C68,Merchants!$A$1:$D$41,4,FALSE),"Merchant not found")</f>
        <v>West</v>
      </c>
      <c r="L68" s="3">
        <f>IFERROR(HLOOKUP(F68,Fee_Lookup!$B$1:$E$2,2,FALSE),"Fee not found")</f>
        <v>1</v>
      </c>
      <c r="M68" s="3" t="str">
        <f>IF(AND(SUMIF(Transactions!$C$2:$C$548,C68,Transactions!$E$2:$E$548)&gt;5000,K68&lt;&gt;"East"),"High-Value Merchant Day","Normal")</f>
        <v>High-Value Merchant Day</v>
      </c>
    </row>
    <row r="69">
      <c r="A69" s="2" t="s">
        <v>152</v>
      </c>
      <c r="B69" s="2">
        <v>138.0</v>
      </c>
      <c r="C69" s="2">
        <v>21.0</v>
      </c>
      <c r="D69" s="5">
        <v>46049.98402777778</v>
      </c>
      <c r="E69" s="2">
        <v>49.0</v>
      </c>
      <c r="F69" s="2" t="s">
        <v>96</v>
      </c>
      <c r="G69" s="2" t="s">
        <v>36</v>
      </c>
      <c r="H69" s="2">
        <v>31.0</v>
      </c>
      <c r="I69" s="3" t="str">
        <f>IFERROR(VLOOKUP($C69,Merchants!$A$1:$D$41,2,FALSE),"Merchant not found")</f>
        <v>Merchant_021</v>
      </c>
      <c r="J69" s="3" t="str">
        <f>IFERROR(VLOOKUP($C69,Merchants!$A$1:$D$41,3,FALSE),"Merchant not found")</f>
        <v>food_delivery</v>
      </c>
      <c r="K69" s="3" t="str">
        <f>IFERROR(VLOOKUP($C69,Merchants!$A$1:$D$41,4,FALSE),"Merchant not found")</f>
        <v>North</v>
      </c>
      <c r="L69" s="3">
        <f>IFERROR(HLOOKUP(F69,Fee_Lookup!$B$1:$E$2,2,FALSE),"Fee not found")</f>
        <v>1.8</v>
      </c>
      <c r="M69" s="3" t="str">
        <f>IF(AND(SUMIF(Transactions!$C$2:$C$548,C69,Transactions!$E$2:$E$548)&gt;5000,K69&lt;&gt;"East"),"High-Value Merchant Day","Normal")</f>
        <v>High-Value Merchant Day</v>
      </c>
    </row>
    <row r="70">
      <c r="A70" s="2" t="s">
        <v>153</v>
      </c>
      <c r="B70" s="2">
        <v>231.0</v>
      </c>
      <c r="C70" s="2">
        <v>16.0</v>
      </c>
      <c r="D70" s="5">
        <v>46049.095138888886</v>
      </c>
      <c r="E70" s="2">
        <v>49.0</v>
      </c>
      <c r="F70" s="2" t="s">
        <v>6</v>
      </c>
      <c r="G70" s="2" t="s">
        <v>36</v>
      </c>
      <c r="H70" s="2">
        <v>96.0</v>
      </c>
      <c r="I70" s="3" t="str">
        <f>IFERROR(VLOOKUP($C70,Merchants!$A$1:$D$41,2,FALSE),"Merchant not found")</f>
        <v>Merchant_016</v>
      </c>
      <c r="J70" s="3" t="str">
        <f>IFERROR(VLOOKUP($C70,Merchants!$A$1:$D$41,3,FALSE),"Merchant not found")</f>
        <v>entertainment</v>
      </c>
      <c r="K70" s="3" t="str">
        <f>IFERROR(VLOOKUP($C70,Merchants!$A$1:$D$41,4,FALSE),"Merchant not found")</f>
        <v>North</v>
      </c>
      <c r="L70" s="3">
        <f>IFERROR(HLOOKUP(F70,Fee_Lookup!$B$1:$E$2,2,FALSE),"Fee not found")</f>
        <v>0.5</v>
      </c>
      <c r="M70" s="3" t="str">
        <f>IF(AND(SUMIF(Transactions!$C$2:$C$548,C70,Transactions!$E$2:$E$548)&gt;5000,K70&lt;&gt;"East"),"High-Value Merchant Day","Normal")</f>
        <v>High-Value Merchant Day</v>
      </c>
    </row>
    <row r="71">
      <c r="A71" s="2" t="s">
        <v>154</v>
      </c>
      <c r="B71" s="2">
        <v>343.0</v>
      </c>
      <c r="C71" s="2">
        <v>25.0</v>
      </c>
      <c r="D71" s="5">
        <v>46037.777083333334</v>
      </c>
      <c r="E71" s="2">
        <v>49.0</v>
      </c>
      <c r="F71" s="2" t="s">
        <v>6</v>
      </c>
      <c r="G71" s="2" t="s">
        <v>36</v>
      </c>
      <c r="H71" s="2">
        <v>43.0</v>
      </c>
      <c r="I71" s="3" t="str">
        <f>IFERROR(VLOOKUP($C71,Merchants!$A$1:$D$41,2,FALSE),"Merchant not found")</f>
        <v>Merchant_025</v>
      </c>
      <c r="J71" s="3" t="str">
        <f>IFERROR(VLOOKUP($C71,Merchants!$A$1:$D$41,3,FALSE),"Merchant not found")</f>
        <v>grocery</v>
      </c>
      <c r="K71" s="3" t="str">
        <f>IFERROR(VLOOKUP($C71,Merchants!$A$1:$D$41,4,FALSE),"Merchant not found")</f>
        <v>East</v>
      </c>
      <c r="L71" s="3">
        <f>IFERROR(HLOOKUP(F71,Fee_Lookup!$B$1:$E$2,2,FALSE),"Fee not found")</f>
        <v>0.5</v>
      </c>
      <c r="M71" s="3" t="str">
        <f>IF(AND(SUMIF(Transactions!$C$2:$C$548,C71,Transactions!$E$2:$E$548)&gt;5000,K71&lt;&gt;"East"),"High-Value Merchant Day","Normal")</f>
        <v>Normal</v>
      </c>
    </row>
    <row r="72">
      <c r="A72" s="2" t="s">
        <v>155</v>
      </c>
      <c r="B72" s="2">
        <v>167.0</v>
      </c>
      <c r="C72" s="2">
        <v>12.0</v>
      </c>
      <c r="D72" s="5">
        <v>46023.6625</v>
      </c>
      <c r="E72" s="2">
        <v>499.0</v>
      </c>
      <c r="F72" s="2" t="s">
        <v>35</v>
      </c>
      <c r="G72" s="2" t="s">
        <v>36</v>
      </c>
      <c r="H72" s="2">
        <v>62.0</v>
      </c>
      <c r="I72" s="3" t="str">
        <f>IFERROR(VLOOKUP($C72,Merchants!$A$1:$D$41,2,FALSE),"Merchant not found")</f>
        <v>Merchant_012</v>
      </c>
      <c r="J72" s="3" t="str">
        <f>IFERROR(VLOOKUP($C72,Merchants!$A$1:$D$41,3,FALSE),"Merchant not found")</f>
        <v>food_delivery</v>
      </c>
      <c r="K72" s="3" t="str">
        <f>IFERROR(VLOOKUP($C72,Merchants!$A$1:$D$41,4,FALSE),"Merchant not found")</f>
        <v>South</v>
      </c>
      <c r="L72" s="3">
        <f>IFERROR(HLOOKUP(F72,Fee_Lookup!$B$1:$E$2,2,FALSE),"Fee not found")</f>
        <v>1</v>
      </c>
      <c r="M72" s="3" t="str">
        <f>IF(AND(SUMIF(Transactions!$C$2:$C$548,C72,Transactions!$E$2:$E$548)&gt;5000,K72&lt;&gt;"East"),"High-Value Merchant Day","Normal")</f>
        <v>High-Value Merchant Day</v>
      </c>
    </row>
    <row r="73">
      <c r="A73" s="2" t="s">
        <v>156</v>
      </c>
      <c r="B73" s="2">
        <v>133.0</v>
      </c>
      <c r="C73" s="2">
        <v>22.0</v>
      </c>
      <c r="D73" s="5">
        <v>46029.49375</v>
      </c>
      <c r="E73" s="2">
        <v>499.0</v>
      </c>
      <c r="F73" s="2" t="s">
        <v>6</v>
      </c>
      <c r="G73" s="2" t="s">
        <v>36</v>
      </c>
      <c r="H73" s="2">
        <v>35.0</v>
      </c>
      <c r="I73" s="3" t="str">
        <f>IFERROR(VLOOKUP($C73,Merchants!$A$1:$D$41,2,FALSE),"Merchant not found")</f>
        <v>Merchant_022</v>
      </c>
      <c r="J73" s="3" t="str">
        <f>IFERROR(VLOOKUP($C73,Merchants!$A$1:$D$41,3,FALSE),"Merchant not found")</f>
        <v>ecommerce</v>
      </c>
      <c r="K73" s="3" t="str">
        <f>IFERROR(VLOOKUP($C73,Merchants!$A$1:$D$41,4,FALSE),"Merchant not found")</f>
        <v>West</v>
      </c>
      <c r="L73" s="3">
        <f>IFERROR(HLOOKUP(F73,Fee_Lookup!$B$1:$E$2,2,FALSE),"Fee not found")</f>
        <v>0.5</v>
      </c>
      <c r="M73" s="3" t="str">
        <f>IF(AND(SUMIF(Transactions!$C$2:$C$548,C73,Transactions!$E$2:$E$548)&gt;5000,K73&lt;&gt;"East"),"High-Value Merchant Day","Normal")</f>
        <v>High-Value Merchant Day</v>
      </c>
    </row>
    <row r="74">
      <c r="A74" s="2" t="s">
        <v>157</v>
      </c>
      <c r="B74" s="2">
        <v>142.0</v>
      </c>
      <c r="C74" s="2">
        <v>36.0</v>
      </c>
      <c r="D74" s="5">
        <v>46051.822222222225</v>
      </c>
      <c r="E74" s="2">
        <v>799.0</v>
      </c>
      <c r="F74" s="2" t="s">
        <v>35</v>
      </c>
      <c r="G74" s="2" t="s">
        <v>36</v>
      </c>
      <c r="H74" s="2">
        <v>1.0</v>
      </c>
      <c r="I74" s="3" t="str">
        <f>IFERROR(VLOOKUP($C74,Merchants!$A$1:$D$41,2,FALSE),"Merchant not found")</f>
        <v>Merchant_036</v>
      </c>
      <c r="J74" s="3" t="str">
        <f>IFERROR(VLOOKUP($C74,Merchants!$A$1:$D$41,3,FALSE),"Merchant not found")</f>
        <v>ecommerce</v>
      </c>
      <c r="K74" s="3" t="str">
        <f>IFERROR(VLOOKUP($C74,Merchants!$A$1:$D$41,4,FALSE),"Merchant not found")</f>
        <v>East</v>
      </c>
      <c r="L74" s="3">
        <f>IFERROR(HLOOKUP(F74,Fee_Lookup!$B$1:$E$2,2,FALSE),"Fee not found")</f>
        <v>1</v>
      </c>
      <c r="M74" s="3" t="str">
        <f>IF(AND(SUMIF(Transactions!$C$2:$C$548,C74,Transactions!$E$2:$E$548)&gt;5000,K74&lt;&gt;"East"),"High-Value Merchant Day","Normal")</f>
        <v>Normal</v>
      </c>
    </row>
    <row r="75">
      <c r="A75" s="2" t="s">
        <v>158</v>
      </c>
      <c r="B75" s="2">
        <v>124.0</v>
      </c>
      <c r="C75" s="2">
        <v>27.0</v>
      </c>
      <c r="D75" s="5">
        <v>46039.25347222222</v>
      </c>
      <c r="E75" s="2">
        <v>499.0</v>
      </c>
      <c r="F75" s="2" t="s">
        <v>35</v>
      </c>
      <c r="G75" s="2" t="s">
        <v>36</v>
      </c>
      <c r="H75" s="2">
        <v>62.0</v>
      </c>
      <c r="I75" s="3" t="str">
        <f>IFERROR(VLOOKUP($C75,Merchants!$A$1:$D$41,2,FALSE),"Merchant not found")</f>
        <v>Merchant_027</v>
      </c>
      <c r="J75" s="3" t="str">
        <f>IFERROR(VLOOKUP($C75,Merchants!$A$1:$D$41,3,FALSE),"Merchant not found")</f>
        <v>recharge</v>
      </c>
      <c r="K75" s="3" t="str">
        <f>IFERROR(VLOOKUP($C75,Merchants!$A$1:$D$41,4,FALSE),"Merchant not found")</f>
        <v>South</v>
      </c>
      <c r="L75" s="3">
        <f>IFERROR(HLOOKUP(F75,Fee_Lookup!$B$1:$E$2,2,FALSE),"Fee not found")</f>
        <v>1</v>
      </c>
      <c r="M75" s="3" t="str">
        <f>IF(AND(SUMIF(Transactions!$C$2:$C$548,C75,Transactions!$E$2:$E$548)&gt;5000,K75&lt;&gt;"East"),"High-Value Merchant Day","Normal")</f>
        <v>High-Value Merchant Day</v>
      </c>
    </row>
    <row r="76">
      <c r="A76" s="2" t="s">
        <v>159</v>
      </c>
      <c r="B76" s="2">
        <v>244.0</v>
      </c>
      <c r="C76" s="2">
        <v>32.0</v>
      </c>
      <c r="D76" s="5">
        <v>46040.322222222225</v>
      </c>
      <c r="E76" s="2">
        <v>149.0</v>
      </c>
      <c r="F76" s="2" t="s">
        <v>6</v>
      </c>
      <c r="G76" s="2" t="s">
        <v>36</v>
      </c>
      <c r="H76" s="2">
        <v>57.0</v>
      </c>
      <c r="I76" s="3" t="str">
        <f>IFERROR(VLOOKUP($C76,Merchants!$A$1:$D$41,2,FALSE),"Merchant not found")</f>
        <v>Merchant_032</v>
      </c>
      <c r="J76" s="3" t="str">
        <f>IFERROR(VLOOKUP($C76,Merchants!$A$1:$D$41,3,FALSE),"Merchant not found")</f>
        <v>grocery</v>
      </c>
      <c r="K76" s="3" t="str">
        <f>IFERROR(VLOOKUP($C76,Merchants!$A$1:$D$41,4,FALSE),"Merchant not found")</f>
        <v>North</v>
      </c>
      <c r="L76" s="3">
        <f>IFERROR(HLOOKUP(F76,Fee_Lookup!$B$1:$E$2,2,FALSE),"Fee not found")</f>
        <v>0.5</v>
      </c>
      <c r="M76" s="3" t="str">
        <f>IF(AND(SUMIF(Transactions!$C$2:$C$548,C76,Transactions!$E$2:$E$548)&gt;5000,K76&lt;&gt;"East"),"High-Value Merchant Day","Normal")</f>
        <v>High-Value Merchant Day</v>
      </c>
    </row>
    <row r="77">
      <c r="A77" s="2" t="s">
        <v>160</v>
      </c>
      <c r="B77" s="2">
        <v>151.0</v>
      </c>
      <c r="C77" s="2">
        <v>15.0</v>
      </c>
      <c r="D77" s="5">
        <v>46048.00347222222</v>
      </c>
      <c r="E77" s="2">
        <v>4999.0</v>
      </c>
      <c r="F77" s="2" t="s">
        <v>6</v>
      </c>
      <c r="G77" s="2" t="s">
        <v>36</v>
      </c>
      <c r="H77" s="2">
        <v>51.0</v>
      </c>
      <c r="I77" s="3" t="str">
        <f>IFERROR(VLOOKUP($C77,Merchants!$A$1:$D$41,2,FALSE),"Merchant not found")</f>
        <v>Merchant_015</v>
      </c>
      <c r="J77" s="3" t="str">
        <f>IFERROR(VLOOKUP($C77,Merchants!$A$1:$D$41,3,FALSE),"Merchant not found")</f>
        <v>travel</v>
      </c>
      <c r="K77" s="3" t="str">
        <f>IFERROR(VLOOKUP($C77,Merchants!$A$1:$D$41,4,FALSE),"Merchant not found")</f>
        <v>West</v>
      </c>
      <c r="L77" s="3">
        <f>IFERROR(HLOOKUP(F77,Fee_Lookup!$B$1:$E$2,2,FALSE),"Fee not found")</f>
        <v>0.5</v>
      </c>
      <c r="M77" s="3" t="str">
        <f>IF(AND(SUMIF(Transactions!$C$2:$C$548,C77,Transactions!$E$2:$E$548)&gt;5000,K77&lt;&gt;"East"),"High-Value Merchant Day","Normal")</f>
        <v>High-Value Merchant Day</v>
      </c>
    </row>
    <row r="78">
      <c r="A78" s="2" t="s">
        <v>161</v>
      </c>
      <c r="B78" s="2">
        <v>340.0</v>
      </c>
      <c r="C78" s="2">
        <v>38.0</v>
      </c>
      <c r="D78" s="5">
        <v>46045.30486111111</v>
      </c>
      <c r="E78" s="2">
        <v>499.0</v>
      </c>
      <c r="F78" s="2" t="s">
        <v>96</v>
      </c>
      <c r="G78" s="2" t="s">
        <v>36</v>
      </c>
      <c r="H78" s="2">
        <v>47.0</v>
      </c>
      <c r="I78" s="3" t="str">
        <f>IFERROR(VLOOKUP($C78,Merchants!$A$1:$D$41,2,FALSE),"Merchant not found")</f>
        <v>Merchant_038</v>
      </c>
      <c r="J78" s="3" t="str">
        <f>IFERROR(VLOOKUP($C78,Merchants!$A$1:$D$41,3,FALSE),"Merchant not found")</f>
        <v>bill_payment</v>
      </c>
      <c r="K78" s="3" t="str">
        <f>IFERROR(VLOOKUP($C78,Merchants!$A$1:$D$41,4,FALSE),"Merchant not found")</f>
        <v>West</v>
      </c>
      <c r="L78" s="3">
        <f>IFERROR(HLOOKUP(F78,Fee_Lookup!$B$1:$E$2,2,FALSE),"Fee not found")</f>
        <v>1.8</v>
      </c>
      <c r="M78" s="3" t="str">
        <f>IF(AND(SUMIF(Transactions!$C$2:$C$548,C78,Transactions!$E$2:$E$548)&gt;5000,K78&lt;&gt;"East"),"High-Value Merchant Day","Normal")</f>
        <v>Normal</v>
      </c>
    </row>
    <row r="79">
      <c r="A79" s="2" t="s">
        <v>162</v>
      </c>
      <c r="B79" s="2">
        <v>177.0</v>
      </c>
      <c r="C79" s="2">
        <v>28.0</v>
      </c>
      <c r="D79" s="5">
        <v>46038.73125</v>
      </c>
      <c r="E79" s="2">
        <v>299.0</v>
      </c>
      <c r="F79" s="2" t="s">
        <v>6</v>
      </c>
      <c r="G79" s="2" t="s">
        <v>36</v>
      </c>
      <c r="H79" s="2">
        <v>95.0</v>
      </c>
      <c r="I79" s="3" t="str">
        <f>IFERROR(VLOOKUP($C79,Merchants!$A$1:$D$41,2,FALSE),"Merchant not found")</f>
        <v>Merchant_028</v>
      </c>
      <c r="J79" s="3" t="str">
        <f>IFERROR(VLOOKUP($C79,Merchants!$A$1:$D$41,3,FALSE),"Merchant not found")</f>
        <v>food_delivery</v>
      </c>
      <c r="K79" s="3" t="str">
        <f>IFERROR(VLOOKUP($C79,Merchants!$A$1:$D$41,4,FALSE),"Merchant not found")</f>
        <v>East</v>
      </c>
      <c r="L79" s="3">
        <f>IFERROR(HLOOKUP(F79,Fee_Lookup!$B$1:$E$2,2,FALSE),"Fee not found")</f>
        <v>0.5</v>
      </c>
      <c r="M79" s="3" t="str">
        <f>IF(AND(SUMIF(Transactions!$C$2:$C$548,C79,Transactions!$E$2:$E$548)&gt;5000,K79&lt;&gt;"East"),"High-Value Merchant Day","Normal")</f>
        <v>Normal</v>
      </c>
    </row>
    <row r="80">
      <c r="A80" s="2" t="s">
        <v>163</v>
      </c>
      <c r="B80" s="2">
        <v>233.0</v>
      </c>
      <c r="C80" s="2">
        <v>18.0</v>
      </c>
      <c r="D80" s="5">
        <v>46040.43194444444</v>
      </c>
      <c r="E80" s="2">
        <v>499.0</v>
      </c>
      <c r="F80" s="2" t="s">
        <v>6</v>
      </c>
      <c r="G80" s="2" t="s">
        <v>36</v>
      </c>
      <c r="H80" s="2">
        <v>39.0</v>
      </c>
      <c r="I80" s="3" t="str">
        <f>IFERROR(VLOOKUP($C80,Merchants!$A$1:$D$41,2,FALSE),"Merchant not found")</f>
        <v>Merchant_018</v>
      </c>
      <c r="J80" s="3" t="str">
        <f>IFERROR(VLOOKUP($C80,Merchants!$A$1:$D$41,3,FALSE),"Merchant not found")</f>
        <v>grocery</v>
      </c>
      <c r="K80" s="3" t="str">
        <f>IFERROR(VLOOKUP($C80,Merchants!$A$1:$D$41,4,FALSE),"Merchant not found")</f>
        <v>South</v>
      </c>
      <c r="L80" s="3">
        <f>IFERROR(HLOOKUP(F80,Fee_Lookup!$B$1:$E$2,2,FALSE),"Fee not found")</f>
        <v>0.5</v>
      </c>
      <c r="M80" s="3" t="str">
        <f>IF(AND(SUMIF(Transactions!$C$2:$C$548,C80,Transactions!$E$2:$E$548)&gt;5000,K80&lt;&gt;"East"),"High-Value Merchant Day","Normal")</f>
        <v>High-Value Merchant Day</v>
      </c>
    </row>
    <row r="81">
      <c r="A81" s="2" t="s">
        <v>164</v>
      </c>
      <c r="B81" s="2">
        <v>99.0</v>
      </c>
      <c r="C81" s="2">
        <v>21.0</v>
      </c>
      <c r="D81" s="5">
        <v>46031.29652777778</v>
      </c>
      <c r="E81" s="2">
        <v>499.0</v>
      </c>
      <c r="F81" s="2" t="s">
        <v>6</v>
      </c>
      <c r="G81" s="2" t="s">
        <v>36</v>
      </c>
      <c r="H81" s="2">
        <v>15.0</v>
      </c>
      <c r="I81" s="3" t="str">
        <f>IFERROR(VLOOKUP($C81,Merchants!$A$1:$D$41,2,FALSE),"Merchant not found")</f>
        <v>Merchant_021</v>
      </c>
      <c r="J81" s="3" t="str">
        <f>IFERROR(VLOOKUP($C81,Merchants!$A$1:$D$41,3,FALSE),"Merchant not found")</f>
        <v>food_delivery</v>
      </c>
      <c r="K81" s="3" t="str">
        <f>IFERROR(VLOOKUP($C81,Merchants!$A$1:$D$41,4,FALSE),"Merchant not found")</f>
        <v>North</v>
      </c>
      <c r="L81" s="3">
        <f>IFERROR(HLOOKUP(F81,Fee_Lookup!$B$1:$E$2,2,FALSE),"Fee not found")</f>
        <v>0.5</v>
      </c>
      <c r="M81" s="3" t="str">
        <f>IF(AND(SUMIF(Transactions!$C$2:$C$548,C81,Transactions!$E$2:$E$548)&gt;5000,K81&lt;&gt;"East"),"High-Value Merchant Day","Normal")</f>
        <v>High-Value Merchant Day</v>
      </c>
    </row>
    <row r="82">
      <c r="A82" s="2" t="s">
        <v>165</v>
      </c>
      <c r="B82" s="2">
        <v>95.0</v>
      </c>
      <c r="C82" s="2">
        <v>13.0</v>
      </c>
      <c r="D82" s="5">
        <v>46046.74166666667</v>
      </c>
      <c r="E82" s="2">
        <v>2999.0</v>
      </c>
      <c r="F82" s="2" t="s">
        <v>79</v>
      </c>
      <c r="G82" s="2" t="s">
        <v>64</v>
      </c>
      <c r="H82" s="2">
        <v>27.0</v>
      </c>
      <c r="I82" s="3" t="str">
        <f>IFERROR(VLOOKUP($C82,Merchants!$A$1:$D$41,2,FALSE),"Merchant not found")</f>
        <v>Merchant_013</v>
      </c>
      <c r="J82" s="3" t="str">
        <f>IFERROR(VLOOKUP($C82,Merchants!$A$1:$D$41,3,FALSE),"Merchant not found")</f>
        <v>ecommerce</v>
      </c>
      <c r="K82" s="3" t="str">
        <f>IFERROR(VLOOKUP($C82,Merchants!$A$1:$D$41,4,FALSE),"Merchant not found")</f>
        <v>North</v>
      </c>
      <c r="L82" s="3">
        <f>IFERROR(HLOOKUP(F82,Fee_Lookup!$B$1:$E$2,2,FALSE),"Fee not found")</f>
        <v>1.5</v>
      </c>
      <c r="M82" s="3" t="str">
        <f>IF(AND(SUMIF(Transactions!$C$2:$C$548,C82,Transactions!$E$2:$E$548)&gt;5000,K82&lt;&gt;"East"),"High-Value Merchant Day","Normal")</f>
        <v>High-Value Merchant Day</v>
      </c>
    </row>
    <row r="83">
      <c r="A83" s="2" t="s">
        <v>166</v>
      </c>
      <c r="B83" s="2">
        <v>302.0</v>
      </c>
      <c r="C83" s="2">
        <v>34.0</v>
      </c>
      <c r="D83" s="5">
        <v>46046.63680555556</v>
      </c>
      <c r="E83" s="2">
        <v>49.0</v>
      </c>
      <c r="F83" s="2" t="s">
        <v>79</v>
      </c>
      <c r="G83" s="2" t="s">
        <v>36</v>
      </c>
      <c r="H83" s="2">
        <v>76.0</v>
      </c>
      <c r="I83" s="3" t="str">
        <f>IFERROR(VLOOKUP($C83,Merchants!$A$1:$D$41,2,FALSE),"Merchant not found")</f>
        <v>Merchant_034</v>
      </c>
      <c r="J83" s="3" t="str">
        <f>IFERROR(VLOOKUP($C83,Merchants!$A$1:$D$41,3,FALSE),"Merchant not found")</f>
        <v>recharge</v>
      </c>
      <c r="K83" s="3" t="str">
        <f>IFERROR(VLOOKUP($C83,Merchants!$A$1:$D$41,4,FALSE),"Merchant not found")</f>
        <v>West</v>
      </c>
      <c r="L83" s="3">
        <f>IFERROR(HLOOKUP(F83,Fee_Lookup!$B$1:$E$2,2,FALSE),"Fee not found")</f>
        <v>1.5</v>
      </c>
      <c r="M83" s="3" t="str">
        <f>IF(AND(SUMIF(Transactions!$C$2:$C$548,C83,Transactions!$E$2:$E$548)&gt;5000,K83&lt;&gt;"East"),"High-Value Merchant Day","Normal")</f>
        <v>High-Value Merchant Day</v>
      </c>
    </row>
    <row r="84">
      <c r="A84" s="2" t="s">
        <v>167</v>
      </c>
      <c r="B84" s="2">
        <v>100.0</v>
      </c>
      <c r="C84" s="2">
        <v>19.0</v>
      </c>
      <c r="D84" s="5">
        <v>46032.16180555556</v>
      </c>
      <c r="E84" s="2">
        <v>2999.0</v>
      </c>
      <c r="F84" s="2" t="s">
        <v>79</v>
      </c>
      <c r="G84" s="2" t="s">
        <v>36</v>
      </c>
      <c r="H84" s="2">
        <v>29.0</v>
      </c>
      <c r="I84" s="3" t="str">
        <f>IFERROR(VLOOKUP($C84,Merchants!$A$1:$D$41,2,FALSE),"Merchant not found")</f>
        <v>Merchant_019</v>
      </c>
      <c r="J84" s="3" t="str">
        <f>IFERROR(VLOOKUP($C84,Merchants!$A$1:$D$41,3,FALSE),"Merchant not found")</f>
        <v>recharge</v>
      </c>
      <c r="K84" s="3" t="str">
        <f>IFERROR(VLOOKUP($C84,Merchants!$A$1:$D$41,4,FALSE),"Merchant not found")</f>
        <v>North</v>
      </c>
      <c r="L84" s="3">
        <f>IFERROR(HLOOKUP(F84,Fee_Lookup!$B$1:$E$2,2,FALSE),"Fee not found")</f>
        <v>1.5</v>
      </c>
      <c r="M84" s="3" t="str">
        <f>IF(AND(SUMIF(Transactions!$C$2:$C$548,C84,Transactions!$E$2:$E$548)&gt;5000,K84&lt;&gt;"East"),"High-Value Merchant Day","Normal")</f>
        <v>High-Value Merchant Day</v>
      </c>
    </row>
    <row r="85">
      <c r="A85" s="2" t="s">
        <v>168</v>
      </c>
      <c r="B85" s="2">
        <v>8.0</v>
      </c>
      <c r="C85" s="2">
        <v>35.0</v>
      </c>
      <c r="D85" s="5">
        <v>46034.22152777778</v>
      </c>
      <c r="E85" s="2">
        <v>99.0</v>
      </c>
      <c r="F85" s="2" t="s">
        <v>6</v>
      </c>
      <c r="G85" s="2" t="s">
        <v>36</v>
      </c>
      <c r="H85" s="2">
        <v>16.0</v>
      </c>
      <c r="I85" s="3" t="str">
        <f>IFERROR(VLOOKUP($C85,Merchants!$A$1:$D$41,2,FALSE),"Merchant not found")</f>
        <v>Merchant_035</v>
      </c>
      <c r="J85" s="3" t="str">
        <f>IFERROR(VLOOKUP($C85,Merchants!$A$1:$D$41,3,FALSE),"Merchant not found")</f>
        <v>food_delivery</v>
      </c>
      <c r="K85" s="3" t="str">
        <f>IFERROR(VLOOKUP($C85,Merchants!$A$1:$D$41,4,FALSE),"Merchant not found")</f>
        <v>South</v>
      </c>
      <c r="L85" s="3">
        <f>IFERROR(HLOOKUP(F85,Fee_Lookup!$B$1:$E$2,2,FALSE),"Fee not found")</f>
        <v>0.5</v>
      </c>
      <c r="M85" s="3" t="str">
        <f>IF(AND(SUMIF(Transactions!$C$2:$C$548,C85,Transactions!$E$2:$E$548)&gt;5000,K85&lt;&gt;"East"),"High-Value Merchant Day","Normal")</f>
        <v>High-Value Merchant Day</v>
      </c>
    </row>
    <row r="86">
      <c r="A86" s="2" t="s">
        <v>169</v>
      </c>
      <c r="B86" s="2">
        <v>284.0</v>
      </c>
      <c r="C86" s="2">
        <v>19.0</v>
      </c>
      <c r="D86" s="5">
        <v>46031.04375</v>
      </c>
      <c r="E86" s="2">
        <v>99.0</v>
      </c>
      <c r="F86" s="2" t="s">
        <v>6</v>
      </c>
      <c r="G86" s="2" t="s">
        <v>36</v>
      </c>
      <c r="H86" s="2">
        <v>89.0</v>
      </c>
      <c r="I86" s="3" t="str">
        <f>IFERROR(VLOOKUP($C86,Merchants!$A$1:$D$41,2,FALSE),"Merchant not found")</f>
        <v>Merchant_019</v>
      </c>
      <c r="J86" s="3" t="str">
        <f>IFERROR(VLOOKUP($C86,Merchants!$A$1:$D$41,3,FALSE),"Merchant not found")</f>
        <v>recharge</v>
      </c>
      <c r="K86" s="3" t="str">
        <f>IFERROR(VLOOKUP($C86,Merchants!$A$1:$D$41,4,FALSE),"Merchant not found")</f>
        <v>North</v>
      </c>
      <c r="L86" s="3">
        <f>IFERROR(HLOOKUP(F86,Fee_Lookup!$B$1:$E$2,2,FALSE),"Fee not found")</f>
        <v>0.5</v>
      </c>
      <c r="M86" s="3" t="str">
        <f>IF(AND(SUMIF(Transactions!$C$2:$C$548,C86,Transactions!$E$2:$E$548)&gt;5000,K86&lt;&gt;"East"),"High-Value Merchant Day","Normal")</f>
        <v>High-Value Merchant Day</v>
      </c>
    </row>
    <row r="87">
      <c r="A87" s="2" t="s">
        <v>170</v>
      </c>
      <c r="B87" s="2">
        <v>252.0</v>
      </c>
      <c r="C87" s="2">
        <v>7.0</v>
      </c>
      <c r="D87" s="5">
        <v>46027.87152777778</v>
      </c>
      <c r="E87" s="2">
        <v>2999.0</v>
      </c>
      <c r="F87" s="2" t="s">
        <v>35</v>
      </c>
      <c r="G87" s="2" t="s">
        <v>36</v>
      </c>
      <c r="H87" s="2">
        <v>1.0</v>
      </c>
      <c r="I87" s="3" t="str">
        <f>IFERROR(VLOOKUP($C87,Merchants!$A$1:$D$41,2,FALSE),"Merchant not found")</f>
        <v>Merchant_007</v>
      </c>
      <c r="J87" s="3" t="str">
        <f>IFERROR(VLOOKUP($C87,Merchants!$A$1:$D$41,3,FALSE),"Merchant not found")</f>
        <v>bill_payment</v>
      </c>
      <c r="K87" s="3" t="str">
        <f>IFERROR(VLOOKUP($C87,Merchants!$A$1:$D$41,4,FALSE),"Merchant not found")</f>
        <v>South</v>
      </c>
      <c r="L87" s="3">
        <f>IFERROR(HLOOKUP(F87,Fee_Lookup!$B$1:$E$2,2,FALSE),"Fee not found")</f>
        <v>1</v>
      </c>
      <c r="M87" s="3" t="str">
        <f>IF(AND(SUMIF(Transactions!$C$2:$C$548,C87,Transactions!$E$2:$E$548)&gt;5000,K87&lt;&gt;"East"),"High-Value Merchant Day","Normal")</f>
        <v>High-Value Merchant Day</v>
      </c>
    </row>
    <row r="88">
      <c r="A88" s="2" t="s">
        <v>171</v>
      </c>
      <c r="B88" s="2">
        <v>246.0</v>
      </c>
      <c r="C88" s="2">
        <v>29.0</v>
      </c>
      <c r="D88" s="5">
        <v>46041.395833333336</v>
      </c>
      <c r="E88" s="2">
        <v>49.0</v>
      </c>
      <c r="F88" s="2" t="s">
        <v>35</v>
      </c>
      <c r="G88" s="2" t="s">
        <v>36</v>
      </c>
      <c r="H88" s="2">
        <v>43.0</v>
      </c>
      <c r="I88" s="3" t="str">
        <f>IFERROR(VLOOKUP($C88,Merchants!$A$1:$D$41,2,FALSE),"Merchant not found")</f>
        <v>Merchant_029</v>
      </c>
      <c r="J88" s="3" t="str">
        <f>IFERROR(VLOOKUP($C88,Merchants!$A$1:$D$41,3,FALSE),"Merchant not found")</f>
        <v>ecommerce</v>
      </c>
      <c r="K88" s="3" t="str">
        <f>IFERROR(VLOOKUP($C88,Merchants!$A$1:$D$41,4,FALSE),"Merchant not found")</f>
        <v>North</v>
      </c>
      <c r="L88" s="3">
        <f>IFERROR(HLOOKUP(F88,Fee_Lookup!$B$1:$E$2,2,FALSE),"Fee not found")</f>
        <v>1</v>
      </c>
      <c r="M88" s="3" t="str">
        <f>IF(AND(SUMIF(Transactions!$C$2:$C$548,C88,Transactions!$E$2:$E$548)&gt;5000,K88&lt;&gt;"East"),"High-Value Merchant Day","Normal")</f>
        <v>High-Value Merchant Day</v>
      </c>
    </row>
    <row r="89">
      <c r="A89" s="2" t="s">
        <v>172</v>
      </c>
      <c r="B89" s="2">
        <v>245.0</v>
      </c>
      <c r="C89" s="2">
        <v>8.0</v>
      </c>
      <c r="D89" s="5">
        <v>46028.052777777775</v>
      </c>
      <c r="E89" s="2">
        <v>49.0</v>
      </c>
      <c r="F89" s="2" t="s">
        <v>6</v>
      </c>
      <c r="G89" s="2" t="s">
        <v>62</v>
      </c>
      <c r="H89" s="2">
        <v>8.0</v>
      </c>
      <c r="I89" s="3" t="str">
        <f>IFERROR(VLOOKUP($C89,Merchants!$A$1:$D$41,2,FALSE),"Merchant not found")</f>
        <v>Merchant_008</v>
      </c>
      <c r="J89" s="3" t="str">
        <f>IFERROR(VLOOKUP($C89,Merchants!$A$1:$D$41,3,FALSE),"Merchant not found")</f>
        <v>travel</v>
      </c>
      <c r="K89" s="3" t="str">
        <f>IFERROR(VLOOKUP($C89,Merchants!$A$1:$D$41,4,FALSE),"Merchant not found")</f>
        <v>North</v>
      </c>
      <c r="L89" s="3">
        <f>IFERROR(HLOOKUP(F89,Fee_Lookup!$B$1:$E$2,2,FALSE),"Fee not found")</f>
        <v>0.5</v>
      </c>
      <c r="M89" s="3" t="str">
        <f>IF(AND(SUMIF(Transactions!$C$2:$C$548,C89,Transactions!$E$2:$E$548)&gt;5000,K89&lt;&gt;"East"),"High-Value Merchant Day","Normal")</f>
        <v>High-Value Merchant Day</v>
      </c>
    </row>
    <row r="90">
      <c r="A90" s="2" t="s">
        <v>173</v>
      </c>
      <c r="B90" s="2">
        <v>296.0</v>
      </c>
      <c r="C90" s="2">
        <v>4.0</v>
      </c>
      <c r="D90" s="5">
        <v>46035.62777777778</v>
      </c>
      <c r="E90" s="2">
        <v>799.0</v>
      </c>
      <c r="F90" s="2" t="s">
        <v>35</v>
      </c>
      <c r="G90" s="2" t="s">
        <v>36</v>
      </c>
      <c r="H90" s="2">
        <v>19.0</v>
      </c>
      <c r="I90" s="3" t="str">
        <f>IFERROR(VLOOKUP($C90,Merchants!$A$1:$D$41,2,FALSE),"Merchant not found")</f>
        <v>Merchant_004</v>
      </c>
      <c r="J90" s="3" t="str">
        <f>IFERROR(VLOOKUP($C90,Merchants!$A$1:$D$41,3,FALSE),"Merchant not found")</f>
        <v>grocery</v>
      </c>
      <c r="K90" s="3" t="str">
        <f>IFERROR(VLOOKUP($C90,Merchants!$A$1:$D$41,4,FALSE),"Merchant not found")</f>
        <v>West</v>
      </c>
      <c r="L90" s="3">
        <f>IFERROR(HLOOKUP(F90,Fee_Lookup!$B$1:$E$2,2,FALSE),"Fee not found")</f>
        <v>1</v>
      </c>
      <c r="M90" s="3" t="str">
        <f>IF(AND(SUMIF(Transactions!$C$2:$C$548,C90,Transactions!$E$2:$E$548)&gt;5000,K90&lt;&gt;"East"),"High-Value Merchant Day","Normal")</f>
        <v>High-Value Merchant Day</v>
      </c>
    </row>
    <row r="91">
      <c r="A91" s="2" t="s">
        <v>174</v>
      </c>
      <c r="B91" s="2">
        <v>44.0</v>
      </c>
      <c r="C91" s="2">
        <v>16.0</v>
      </c>
      <c r="D91" s="5">
        <v>46027.763194444444</v>
      </c>
      <c r="E91" s="2">
        <v>149.0</v>
      </c>
      <c r="F91" s="2" t="s">
        <v>6</v>
      </c>
      <c r="G91" s="2" t="s">
        <v>36</v>
      </c>
      <c r="H91" s="2">
        <v>15.0</v>
      </c>
      <c r="I91" s="3" t="str">
        <f>IFERROR(VLOOKUP($C91,Merchants!$A$1:$D$41,2,FALSE),"Merchant not found")</f>
        <v>Merchant_016</v>
      </c>
      <c r="J91" s="3" t="str">
        <f>IFERROR(VLOOKUP($C91,Merchants!$A$1:$D$41,3,FALSE),"Merchant not found")</f>
        <v>entertainment</v>
      </c>
      <c r="K91" s="3" t="str">
        <f>IFERROR(VLOOKUP($C91,Merchants!$A$1:$D$41,4,FALSE),"Merchant not found")</f>
        <v>North</v>
      </c>
      <c r="L91" s="3">
        <f>IFERROR(HLOOKUP(F91,Fee_Lookup!$B$1:$E$2,2,FALSE),"Fee not found")</f>
        <v>0.5</v>
      </c>
      <c r="M91" s="3" t="str">
        <f>IF(AND(SUMIF(Transactions!$C$2:$C$548,C91,Transactions!$E$2:$E$548)&gt;5000,K91&lt;&gt;"East"),"High-Value Merchant Day","Normal")</f>
        <v>High-Value Merchant Day</v>
      </c>
    </row>
    <row r="92">
      <c r="A92" s="2" t="s">
        <v>175</v>
      </c>
      <c r="B92" s="2">
        <v>306.0</v>
      </c>
      <c r="C92" s="2">
        <v>40.0</v>
      </c>
      <c r="D92" s="5">
        <v>46040.56805555556</v>
      </c>
      <c r="E92" s="2">
        <v>799.0</v>
      </c>
      <c r="F92" s="2" t="s">
        <v>96</v>
      </c>
      <c r="G92" s="2" t="s">
        <v>36</v>
      </c>
      <c r="H92" s="2">
        <v>28.0</v>
      </c>
      <c r="I92" s="3" t="str">
        <f>IFERROR(VLOOKUP($C92,Merchants!$A$1:$D$41,2,FALSE),"Merchant not found")</f>
        <v>Merchant_040</v>
      </c>
      <c r="J92" s="3" t="str">
        <f>IFERROR(VLOOKUP($C92,Merchants!$A$1:$D$41,3,FALSE),"Merchant not found")</f>
        <v>ecommerce</v>
      </c>
      <c r="K92" s="3" t="str">
        <f>IFERROR(VLOOKUP($C92,Merchants!$A$1:$D$41,4,FALSE),"Merchant not found")</f>
        <v>North</v>
      </c>
      <c r="L92" s="3">
        <f>IFERROR(HLOOKUP(F92,Fee_Lookup!$B$1:$E$2,2,FALSE),"Fee not found")</f>
        <v>1.8</v>
      </c>
      <c r="M92" s="3" t="str">
        <f>IF(AND(SUMIF(Transactions!$C$2:$C$548,C92,Transactions!$E$2:$E$548)&gt;5000,K92&lt;&gt;"East"),"High-Value Merchant Day","Normal")</f>
        <v>High-Value Merchant Day</v>
      </c>
    </row>
    <row r="93">
      <c r="A93" s="2" t="s">
        <v>176</v>
      </c>
      <c r="B93" s="2">
        <v>231.0</v>
      </c>
      <c r="C93" s="2">
        <v>29.0</v>
      </c>
      <c r="D93" s="5">
        <v>46047.683333333334</v>
      </c>
      <c r="E93" s="2">
        <v>299.0</v>
      </c>
      <c r="F93" s="2" t="s">
        <v>6</v>
      </c>
      <c r="G93" s="2" t="s">
        <v>36</v>
      </c>
      <c r="H93" s="2">
        <v>38.0</v>
      </c>
      <c r="I93" s="3" t="str">
        <f>IFERROR(VLOOKUP($C93,Merchants!$A$1:$D$41,2,FALSE),"Merchant not found")</f>
        <v>Merchant_029</v>
      </c>
      <c r="J93" s="3" t="str">
        <f>IFERROR(VLOOKUP($C93,Merchants!$A$1:$D$41,3,FALSE),"Merchant not found")</f>
        <v>ecommerce</v>
      </c>
      <c r="K93" s="3" t="str">
        <f>IFERROR(VLOOKUP($C93,Merchants!$A$1:$D$41,4,FALSE),"Merchant not found")</f>
        <v>North</v>
      </c>
      <c r="L93" s="3">
        <f>IFERROR(HLOOKUP(F93,Fee_Lookup!$B$1:$E$2,2,FALSE),"Fee not found")</f>
        <v>0.5</v>
      </c>
      <c r="M93" s="3" t="str">
        <f>IF(AND(SUMIF(Transactions!$C$2:$C$548,C93,Transactions!$E$2:$E$548)&gt;5000,K93&lt;&gt;"East"),"High-Value Merchant Day","Normal")</f>
        <v>High-Value Merchant Day</v>
      </c>
    </row>
    <row r="94">
      <c r="A94" s="2" t="s">
        <v>177</v>
      </c>
      <c r="B94" s="2">
        <v>157.0</v>
      </c>
      <c r="C94" s="2">
        <v>37.0</v>
      </c>
      <c r="D94" s="5">
        <v>46050.76875</v>
      </c>
      <c r="E94" s="2">
        <v>499.0</v>
      </c>
      <c r="F94" s="2" t="s">
        <v>35</v>
      </c>
      <c r="G94" s="2" t="s">
        <v>36</v>
      </c>
      <c r="H94" s="2">
        <v>79.0</v>
      </c>
      <c r="I94" s="3" t="str">
        <f>IFERROR(VLOOKUP($C94,Merchants!$A$1:$D$41,2,FALSE),"Merchant not found")</f>
        <v>Merchant_037</v>
      </c>
      <c r="J94" s="3" t="str">
        <f>IFERROR(VLOOKUP($C94,Merchants!$A$1:$D$41,3,FALSE),"Merchant not found")</f>
        <v>travel</v>
      </c>
      <c r="K94" s="3" t="str">
        <f>IFERROR(VLOOKUP($C94,Merchants!$A$1:$D$41,4,FALSE),"Merchant not found")</f>
        <v>North</v>
      </c>
      <c r="L94" s="3">
        <f>IFERROR(HLOOKUP(F94,Fee_Lookup!$B$1:$E$2,2,FALSE),"Fee not found")</f>
        <v>1</v>
      </c>
      <c r="M94" s="3" t="str">
        <f>IF(AND(SUMIF(Transactions!$C$2:$C$548,C94,Transactions!$E$2:$E$548)&gt;5000,K94&lt;&gt;"East"),"High-Value Merchant Day","Normal")</f>
        <v>High-Value Merchant Day</v>
      </c>
    </row>
    <row r="95">
      <c r="A95" s="2" t="s">
        <v>178</v>
      </c>
      <c r="B95" s="2">
        <v>51.0</v>
      </c>
      <c r="C95" s="2">
        <v>14.0</v>
      </c>
      <c r="D95" s="5">
        <v>46024.82430555556</v>
      </c>
      <c r="E95" s="2">
        <v>1499.0</v>
      </c>
      <c r="F95" s="2" t="s">
        <v>6</v>
      </c>
      <c r="G95" s="2" t="s">
        <v>36</v>
      </c>
      <c r="H95" s="2">
        <v>80.0</v>
      </c>
      <c r="I95" s="3" t="str">
        <f>IFERROR(VLOOKUP($C95,Merchants!$A$1:$D$41,2,FALSE),"Merchant not found")</f>
        <v>Merchant_014</v>
      </c>
      <c r="J95" s="3" t="str">
        <f>IFERROR(VLOOKUP($C95,Merchants!$A$1:$D$41,3,FALSE),"Merchant not found")</f>
        <v>grocery</v>
      </c>
      <c r="K95" s="3" t="str">
        <f>IFERROR(VLOOKUP($C95,Merchants!$A$1:$D$41,4,FALSE),"Merchant not found")</f>
        <v>South</v>
      </c>
      <c r="L95" s="3">
        <f>IFERROR(HLOOKUP(F95,Fee_Lookup!$B$1:$E$2,2,FALSE),"Fee not found")</f>
        <v>0.5</v>
      </c>
      <c r="M95" s="3" t="str">
        <f>IF(AND(SUMIF(Transactions!$C$2:$C$548,C95,Transactions!$E$2:$E$548)&gt;5000,K95&lt;&gt;"East"),"High-Value Merchant Day","Normal")</f>
        <v>High-Value Merchant Day</v>
      </c>
    </row>
    <row r="96">
      <c r="A96" s="2" t="s">
        <v>179</v>
      </c>
      <c r="B96" s="2">
        <v>42.0</v>
      </c>
      <c r="C96" s="2">
        <v>11.0</v>
      </c>
      <c r="D96" s="5">
        <v>46029.3625</v>
      </c>
      <c r="E96" s="2">
        <v>49.0</v>
      </c>
      <c r="F96" s="2" t="s">
        <v>35</v>
      </c>
      <c r="G96" s="2" t="s">
        <v>36</v>
      </c>
      <c r="H96" s="2">
        <v>30.0</v>
      </c>
      <c r="I96" s="3" t="str">
        <f>IFERROR(VLOOKUP($C96,Merchants!$A$1:$D$41,2,FALSE),"Merchant not found")</f>
        <v>Merchant_011</v>
      </c>
      <c r="J96" s="3" t="str">
        <f>IFERROR(VLOOKUP($C96,Merchants!$A$1:$D$41,3,FALSE),"Merchant not found")</f>
        <v>recharge</v>
      </c>
      <c r="K96" s="3" t="str">
        <f>IFERROR(VLOOKUP($C96,Merchants!$A$1:$D$41,4,FALSE),"Merchant not found")</f>
        <v>West</v>
      </c>
      <c r="L96" s="3">
        <f>IFERROR(HLOOKUP(F96,Fee_Lookup!$B$1:$E$2,2,FALSE),"Fee not found")</f>
        <v>1</v>
      </c>
      <c r="M96" s="3" t="str">
        <f>IF(AND(SUMIF(Transactions!$C$2:$C$548,C96,Transactions!$E$2:$E$548)&gt;5000,K96&lt;&gt;"East"),"High-Value Merchant Day","Normal")</f>
        <v>High-Value Merchant Day</v>
      </c>
    </row>
    <row r="97">
      <c r="A97" s="2" t="s">
        <v>180</v>
      </c>
      <c r="B97" s="2">
        <v>81.0</v>
      </c>
      <c r="C97" s="2">
        <v>1.0</v>
      </c>
      <c r="D97" s="5">
        <v>46028.71111111111</v>
      </c>
      <c r="E97" s="2">
        <v>149.0</v>
      </c>
      <c r="F97" s="2" t="s">
        <v>6</v>
      </c>
      <c r="G97" s="2" t="s">
        <v>36</v>
      </c>
      <c r="H97" s="2">
        <v>52.0</v>
      </c>
      <c r="I97" s="3" t="str">
        <f>IFERROR(VLOOKUP($C97,Merchants!$A$1:$D$41,2,FALSE),"Merchant not found")</f>
        <v>Merchant_001</v>
      </c>
      <c r="J97" s="3" t="str">
        <f>IFERROR(VLOOKUP($C97,Merchants!$A$1:$D$41,3,FALSE),"Merchant not found")</f>
        <v>entertainment</v>
      </c>
      <c r="K97" s="3" t="str">
        <f>IFERROR(VLOOKUP($C97,Merchants!$A$1:$D$41,4,FALSE),"Merchant not found")</f>
        <v>West</v>
      </c>
      <c r="L97" s="3">
        <f>IFERROR(HLOOKUP(F97,Fee_Lookup!$B$1:$E$2,2,FALSE),"Fee not found")</f>
        <v>0.5</v>
      </c>
      <c r="M97" s="3" t="str">
        <f>IF(AND(SUMIF(Transactions!$C$2:$C$548,C97,Transactions!$E$2:$E$548)&gt;5000,K97&lt;&gt;"East"),"High-Value Merchant Day","Normal")</f>
        <v>High-Value Merchant Day</v>
      </c>
    </row>
    <row r="98">
      <c r="A98" s="2" t="s">
        <v>181</v>
      </c>
      <c r="B98" s="2">
        <v>241.0</v>
      </c>
      <c r="C98" s="2">
        <v>19.0</v>
      </c>
      <c r="D98" s="5">
        <v>46037.94305555556</v>
      </c>
      <c r="E98" s="2">
        <v>299.0</v>
      </c>
      <c r="F98" s="2" t="s">
        <v>6</v>
      </c>
      <c r="G98" s="2" t="s">
        <v>36</v>
      </c>
      <c r="H98" s="2">
        <v>4.0</v>
      </c>
      <c r="I98" s="3" t="str">
        <f>IFERROR(VLOOKUP($C98,Merchants!$A$1:$D$41,2,FALSE),"Merchant not found")</f>
        <v>Merchant_019</v>
      </c>
      <c r="J98" s="3" t="str">
        <f>IFERROR(VLOOKUP($C98,Merchants!$A$1:$D$41,3,FALSE),"Merchant not found")</f>
        <v>recharge</v>
      </c>
      <c r="K98" s="3" t="str">
        <f>IFERROR(VLOOKUP($C98,Merchants!$A$1:$D$41,4,FALSE),"Merchant not found")</f>
        <v>North</v>
      </c>
      <c r="L98" s="3">
        <f>IFERROR(HLOOKUP(F98,Fee_Lookup!$B$1:$E$2,2,FALSE),"Fee not found")</f>
        <v>0.5</v>
      </c>
      <c r="M98" s="3" t="str">
        <f>IF(AND(SUMIF(Transactions!$C$2:$C$548,C98,Transactions!$E$2:$E$548)&gt;5000,K98&lt;&gt;"East"),"High-Value Merchant Day","Normal")</f>
        <v>High-Value Merchant Day</v>
      </c>
    </row>
    <row r="99">
      <c r="A99" s="2" t="s">
        <v>182</v>
      </c>
      <c r="B99" s="2">
        <v>145.0</v>
      </c>
      <c r="C99" s="2">
        <v>30.0</v>
      </c>
      <c r="D99" s="5">
        <v>46030.40625</v>
      </c>
      <c r="E99" s="2">
        <v>799.0</v>
      </c>
      <c r="F99" s="2" t="s">
        <v>6</v>
      </c>
      <c r="G99" s="2" t="s">
        <v>36</v>
      </c>
      <c r="H99" s="2">
        <v>9.0</v>
      </c>
      <c r="I99" s="3" t="str">
        <f>IFERROR(VLOOKUP($C99,Merchants!$A$1:$D$41,2,FALSE),"Merchant not found")</f>
        <v>Merchant_030</v>
      </c>
      <c r="J99" s="3" t="str">
        <f>IFERROR(VLOOKUP($C99,Merchants!$A$1:$D$41,3,FALSE),"Merchant not found")</f>
        <v>travel</v>
      </c>
      <c r="K99" s="3" t="str">
        <f>IFERROR(VLOOKUP($C99,Merchants!$A$1:$D$41,4,FALSE),"Merchant not found")</f>
        <v>West</v>
      </c>
      <c r="L99" s="3">
        <f>IFERROR(HLOOKUP(F99,Fee_Lookup!$B$1:$E$2,2,FALSE),"Fee not found")</f>
        <v>0.5</v>
      </c>
      <c r="M99" s="3" t="str">
        <f>IF(AND(SUMIF(Transactions!$C$2:$C$548,C99,Transactions!$E$2:$E$548)&gt;5000,K99&lt;&gt;"East"),"High-Value Merchant Day","Normal")</f>
        <v>High-Value Merchant Day</v>
      </c>
    </row>
    <row r="100">
      <c r="A100" s="2" t="s">
        <v>183</v>
      </c>
      <c r="B100" s="2">
        <v>136.0</v>
      </c>
      <c r="C100" s="2">
        <v>38.0</v>
      </c>
      <c r="D100" s="5">
        <v>46044.33263888889</v>
      </c>
      <c r="E100" s="2">
        <v>299.0</v>
      </c>
      <c r="F100" s="2" t="s">
        <v>96</v>
      </c>
      <c r="G100" s="2" t="s">
        <v>36</v>
      </c>
      <c r="H100" s="2">
        <v>84.0</v>
      </c>
      <c r="I100" s="3" t="str">
        <f>IFERROR(VLOOKUP($C100,Merchants!$A$1:$D$41,2,FALSE),"Merchant not found")</f>
        <v>Merchant_038</v>
      </c>
      <c r="J100" s="3" t="str">
        <f>IFERROR(VLOOKUP($C100,Merchants!$A$1:$D$41,3,FALSE),"Merchant not found")</f>
        <v>bill_payment</v>
      </c>
      <c r="K100" s="3" t="str">
        <f>IFERROR(VLOOKUP($C100,Merchants!$A$1:$D$41,4,FALSE),"Merchant not found")</f>
        <v>West</v>
      </c>
      <c r="L100" s="3">
        <f>IFERROR(HLOOKUP(F100,Fee_Lookup!$B$1:$E$2,2,FALSE),"Fee not found")</f>
        <v>1.8</v>
      </c>
      <c r="M100" s="3" t="str">
        <f>IF(AND(SUMIF(Transactions!$C$2:$C$548,C100,Transactions!$E$2:$E$548)&gt;5000,K100&lt;&gt;"East"),"High-Value Merchant Day","Normal")</f>
        <v>Normal</v>
      </c>
    </row>
    <row r="101">
      <c r="A101" s="2" t="s">
        <v>184</v>
      </c>
      <c r="B101" s="2">
        <v>59.0</v>
      </c>
      <c r="C101" s="2">
        <v>35.0</v>
      </c>
      <c r="D101" s="5">
        <v>46048.26875</v>
      </c>
      <c r="E101" s="2">
        <v>499.0</v>
      </c>
      <c r="F101" s="2" t="s">
        <v>6</v>
      </c>
      <c r="G101" s="2" t="s">
        <v>36</v>
      </c>
      <c r="H101" s="2">
        <v>28.0</v>
      </c>
      <c r="I101" s="3" t="str">
        <f>IFERROR(VLOOKUP($C101,Merchants!$A$1:$D$41,2,FALSE),"Merchant not found")</f>
        <v>Merchant_035</v>
      </c>
      <c r="J101" s="3" t="str">
        <f>IFERROR(VLOOKUP($C101,Merchants!$A$1:$D$41,3,FALSE),"Merchant not found")</f>
        <v>food_delivery</v>
      </c>
      <c r="K101" s="3" t="str">
        <f>IFERROR(VLOOKUP($C101,Merchants!$A$1:$D$41,4,FALSE),"Merchant not found")</f>
        <v>South</v>
      </c>
      <c r="L101" s="3">
        <f>IFERROR(HLOOKUP(F101,Fee_Lookup!$B$1:$E$2,2,FALSE),"Fee not found")</f>
        <v>0.5</v>
      </c>
      <c r="M101" s="3" t="str">
        <f>IF(AND(SUMIF(Transactions!$C$2:$C$548,C101,Transactions!$E$2:$E$548)&gt;5000,K101&lt;&gt;"East"),"High-Value Merchant Day","Normal")</f>
        <v>High-Value Merchant Day</v>
      </c>
    </row>
    <row r="102">
      <c r="A102" s="2" t="s">
        <v>185</v>
      </c>
      <c r="B102" s="2">
        <v>137.0</v>
      </c>
      <c r="C102" s="2">
        <v>10.0</v>
      </c>
      <c r="D102" s="5">
        <v>46043.20694444444</v>
      </c>
      <c r="E102" s="2">
        <v>299.0</v>
      </c>
      <c r="F102" s="2" t="s">
        <v>6</v>
      </c>
      <c r="G102" s="2" t="s">
        <v>36</v>
      </c>
      <c r="H102" s="2">
        <v>9.0</v>
      </c>
      <c r="I102" s="3" t="str">
        <f>IFERROR(VLOOKUP($C102,Merchants!$A$1:$D$41,2,FALSE),"Merchant not found")</f>
        <v>Merchant_010</v>
      </c>
      <c r="J102" s="3" t="str">
        <f>IFERROR(VLOOKUP($C102,Merchants!$A$1:$D$41,3,FALSE),"Merchant not found")</f>
        <v>grocery</v>
      </c>
      <c r="K102" s="3" t="str">
        <f>IFERROR(VLOOKUP($C102,Merchants!$A$1:$D$41,4,FALSE),"Merchant not found")</f>
        <v>East</v>
      </c>
      <c r="L102" s="3">
        <f>IFERROR(HLOOKUP(F102,Fee_Lookup!$B$1:$E$2,2,FALSE),"Fee not found")</f>
        <v>0.5</v>
      </c>
      <c r="M102" s="3" t="str">
        <f>IF(AND(SUMIF(Transactions!$C$2:$C$548,C102,Transactions!$E$2:$E$548)&gt;5000,K102&lt;&gt;"East"),"High-Value Merchant Day","Normal")</f>
        <v>Normal</v>
      </c>
    </row>
    <row r="103">
      <c r="A103" s="2" t="s">
        <v>186</v>
      </c>
      <c r="B103" s="2">
        <v>158.0</v>
      </c>
      <c r="C103" s="2">
        <v>39.0</v>
      </c>
      <c r="D103" s="5">
        <v>46024.243055555555</v>
      </c>
      <c r="E103" s="2">
        <v>499.0</v>
      </c>
      <c r="F103" s="2" t="s">
        <v>79</v>
      </c>
      <c r="G103" s="2" t="s">
        <v>36</v>
      </c>
      <c r="H103" s="2">
        <v>95.0</v>
      </c>
      <c r="I103" s="3" t="str">
        <f>IFERROR(VLOOKUP($C103,Merchants!$A$1:$D$41,2,FALSE),"Merchant not found")</f>
        <v>Merchant_039</v>
      </c>
      <c r="J103" s="3" t="str">
        <f>IFERROR(VLOOKUP($C103,Merchants!$A$1:$D$41,3,FALSE),"Merchant not found")</f>
        <v>grocery</v>
      </c>
      <c r="K103" s="3" t="str">
        <f>IFERROR(VLOOKUP($C103,Merchants!$A$1:$D$41,4,FALSE),"Merchant not found")</f>
        <v>South</v>
      </c>
      <c r="L103" s="3">
        <f>IFERROR(HLOOKUP(F103,Fee_Lookup!$B$1:$E$2,2,FALSE),"Fee not found")</f>
        <v>1.5</v>
      </c>
      <c r="M103" s="3" t="str">
        <f>IF(AND(SUMIF(Transactions!$C$2:$C$548,C103,Transactions!$E$2:$E$548)&gt;5000,K103&lt;&gt;"East"),"High-Value Merchant Day","Normal")</f>
        <v>High-Value Merchant Day</v>
      </c>
    </row>
    <row r="104">
      <c r="A104" s="2" t="s">
        <v>187</v>
      </c>
      <c r="B104" s="2">
        <v>148.0</v>
      </c>
      <c r="C104" s="2">
        <v>29.0</v>
      </c>
      <c r="D104" s="5">
        <v>46049.79027777778</v>
      </c>
      <c r="E104" s="2">
        <v>99.0</v>
      </c>
      <c r="F104" s="2" t="s">
        <v>96</v>
      </c>
      <c r="G104" s="2" t="s">
        <v>36</v>
      </c>
      <c r="H104" s="2">
        <v>15.0</v>
      </c>
      <c r="I104" s="3" t="str">
        <f>IFERROR(VLOOKUP($C104,Merchants!$A$1:$D$41,2,FALSE),"Merchant not found")</f>
        <v>Merchant_029</v>
      </c>
      <c r="J104" s="3" t="str">
        <f>IFERROR(VLOOKUP($C104,Merchants!$A$1:$D$41,3,FALSE),"Merchant not found")</f>
        <v>ecommerce</v>
      </c>
      <c r="K104" s="3" t="str">
        <f>IFERROR(VLOOKUP($C104,Merchants!$A$1:$D$41,4,FALSE),"Merchant not found")</f>
        <v>North</v>
      </c>
      <c r="L104" s="3">
        <f>IFERROR(HLOOKUP(F104,Fee_Lookup!$B$1:$E$2,2,FALSE),"Fee not found")</f>
        <v>1.8</v>
      </c>
      <c r="M104" s="3" t="str">
        <f>IF(AND(SUMIF(Transactions!$C$2:$C$548,C104,Transactions!$E$2:$E$548)&gt;5000,K104&lt;&gt;"East"),"High-Value Merchant Day","Normal")</f>
        <v>High-Value Merchant Day</v>
      </c>
    </row>
    <row r="105">
      <c r="A105" s="2" t="s">
        <v>188</v>
      </c>
      <c r="B105" s="2">
        <v>207.0</v>
      </c>
      <c r="C105" s="2">
        <v>18.0</v>
      </c>
      <c r="D105" s="5">
        <v>46037.92986111111</v>
      </c>
      <c r="E105" s="2">
        <v>149.0</v>
      </c>
      <c r="F105" s="2" t="s">
        <v>6</v>
      </c>
      <c r="G105" s="2" t="s">
        <v>36</v>
      </c>
      <c r="H105" s="2">
        <v>64.0</v>
      </c>
      <c r="I105" s="3" t="str">
        <f>IFERROR(VLOOKUP($C105,Merchants!$A$1:$D$41,2,FALSE),"Merchant not found")</f>
        <v>Merchant_018</v>
      </c>
      <c r="J105" s="3" t="str">
        <f>IFERROR(VLOOKUP($C105,Merchants!$A$1:$D$41,3,FALSE),"Merchant not found")</f>
        <v>grocery</v>
      </c>
      <c r="K105" s="3" t="str">
        <f>IFERROR(VLOOKUP($C105,Merchants!$A$1:$D$41,4,FALSE),"Merchant not found")</f>
        <v>South</v>
      </c>
      <c r="L105" s="3">
        <f>IFERROR(HLOOKUP(F105,Fee_Lookup!$B$1:$E$2,2,FALSE),"Fee not found")</f>
        <v>0.5</v>
      </c>
      <c r="M105" s="3" t="str">
        <f>IF(AND(SUMIF(Transactions!$C$2:$C$548,C105,Transactions!$E$2:$E$548)&gt;5000,K105&lt;&gt;"East"),"High-Value Merchant Day","Normal")</f>
        <v>High-Value Merchant Day</v>
      </c>
    </row>
    <row r="106">
      <c r="A106" s="2" t="s">
        <v>189</v>
      </c>
      <c r="B106" s="2">
        <v>42.0</v>
      </c>
      <c r="C106" s="2">
        <v>39.0</v>
      </c>
      <c r="D106" s="5">
        <v>46040.64444444444</v>
      </c>
      <c r="E106" s="2">
        <v>2999.0</v>
      </c>
      <c r="F106" s="2" t="s">
        <v>96</v>
      </c>
      <c r="G106" s="2" t="s">
        <v>36</v>
      </c>
      <c r="H106" s="2">
        <v>5.0</v>
      </c>
      <c r="I106" s="3" t="str">
        <f>IFERROR(VLOOKUP($C106,Merchants!$A$1:$D$41,2,FALSE),"Merchant not found")</f>
        <v>Merchant_039</v>
      </c>
      <c r="J106" s="3" t="str">
        <f>IFERROR(VLOOKUP($C106,Merchants!$A$1:$D$41,3,FALSE),"Merchant not found")</f>
        <v>grocery</v>
      </c>
      <c r="K106" s="3" t="str">
        <f>IFERROR(VLOOKUP($C106,Merchants!$A$1:$D$41,4,FALSE),"Merchant not found")</f>
        <v>South</v>
      </c>
      <c r="L106" s="3">
        <f>IFERROR(HLOOKUP(F106,Fee_Lookup!$B$1:$E$2,2,FALSE),"Fee not found")</f>
        <v>1.8</v>
      </c>
      <c r="M106" s="3" t="str">
        <f>IF(AND(SUMIF(Transactions!$C$2:$C$548,C106,Transactions!$E$2:$E$548)&gt;5000,K106&lt;&gt;"East"),"High-Value Merchant Day","Normal")</f>
        <v>High-Value Merchant Day</v>
      </c>
    </row>
    <row r="107">
      <c r="A107" s="2" t="s">
        <v>190</v>
      </c>
      <c r="B107" s="2">
        <v>166.0</v>
      </c>
      <c r="C107" s="2">
        <v>39.0</v>
      </c>
      <c r="D107" s="5">
        <v>46051.57430555556</v>
      </c>
      <c r="E107" s="2">
        <v>149.0</v>
      </c>
      <c r="F107" s="2" t="s">
        <v>6</v>
      </c>
      <c r="G107" s="2" t="s">
        <v>36</v>
      </c>
      <c r="H107" s="2">
        <v>32.0</v>
      </c>
      <c r="I107" s="3" t="str">
        <f>IFERROR(VLOOKUP($C107,Merchants!$A$1:$D$41,2,FALSE),"Merchant not found")</f>
        <v>Merchant_039</v>
      </c>
      <c r="J107" s="3" t="str">
        <f>IFERROR(VLOOKUP($C107,Merchants!$A$1:$D$41,3,FALSE),"Merchant not found")</f>
        <v>grocery</v>
      </c>
      <c r="K107" s="3" t="str">
        <f>IFERROR(VLOOKUP($C107,Merchants!$A$1:$D$41,4,FALSE),"Merchant not found")</f>
        <v>South</v>
      </c>
      <c r="L107" s="3">
        <f>IFERROR(HLOOKUP(F107,Fee_Lookup!$B$1:$E$2,2,FALSE),"Fee not found")</f>
        <v>0.5</v>
      </c>
      <c r="M107" s="3" t="str">
        <f>IF(AND(SUMIF(Transactions!$C$2:$C$548,C107,Transactions!$E$2:$E$548)&gt;5000,K107&lt;&gt;"East"),"High-Value Merchant Day","Normal")</f>
        <v>High-Value Merchant Day</v>
      </c>
    </row>
    <row r="108">
      <c r="A108" s="2" t="s">
        <v>191</v>
      </c>
      <c r="B108" s="2">
        <v>346.0</v>
      </c>
      <c r="C108" s="2">
        <v>37.0</v>
      </c>
      <c r="D108" s="5">
        <v>46023.09305555555</v>
      </c>
      <c r="E108" s="2">
        <v>99.0</v>
      </c>
      <c r="F108" s="2" t="s">
        <v>6</v>
      </c>
      <c r="G108" s="2" t="s">
        <v>36</v>
      </c>
      <c r="H108" s="2">
        <v>75.0</v>
      </c>
      <c r="I108" s="3" t="str">
        <f>IFERROR(VLOOKUP($C108,Merchants!$A$1:$D$41,2,FALSE),"Merchant not found")</f>
        <v>Merchant_037</v>
      </c>
      <c r="J108" s="3" t="str">
        <f>IFERROR(VLOOKUP($C108,Merchants!$A$1:$D$41,3,FALSE),"Merchant not found")</f>
        <v>travel</v>
      </c>
      <c r="K108" s="3" t="str">
        <f>IFERROR(VLOOKUP($C108,Merchants!$A$1:$D$41,4,FALSE),"Merchant not found")</f>
        <v>North</v>
      </c>
      <c r="L108" s="3">
        <f>IFERROR(HLOOKUP(F108,Fee_Lookup!$B$1:$E$2,2,FALSE),"Fee not found")</f>
        <v>0.5</v>
      </c>
      <c r="M108" s="3" t="str">
        <f>IF(AND(SUMIF(Transactions!$C$2:$C$548,C108,Transactions!$E$2:$E$548)&gt;5000,K108&lt;&gt;"East"),"High-Value Merchant Day","Normal")</f>
        <v>High-Value Merchant Day</v>
      </c>
    </row>
    <row r="109">
      <c r="A109" s="2" t="s">
        <v>192</v>
      </c>
      <c r="B109" s="2">
        <v>138.0</v>
      </c>
      <c r="C109" s="2">
        <v>37.0</v>
      </c>
      <c r="D109" s="5">
        <v>46023.91111111111</v>
      </c>
      <c r="E109" s="2">
        <v>499.0</v>
      </c>
      <c r="F109" s="2" t="s">
        <v>6</v>
      </c>
      <c r="G109" s="2" t="s">
        <v>36</v>
      </c>
      <c r="H109" s="2">
        <v>5.0</v>
      </c>
      <c r="I109" s="3" t="str">
        <f>IFERROR(VLOOKUP($C109,Merchants!$A$1:$D$41,2,FALSE),"Merchant not found")</f>
        <v>Merchant_037</v>
      </c>
      <c r="J109" s="3" t="str">
        <f>IFERROR(VLOOKUP($C109,Merchants!$A$1:$D$41,3,FALSE),"Merchant not found")</f>
        <v>travel</v>
      </c>
      <c r="K109" s="3" t="str">
        <f>IFERROR(VLOOKUP($C109,Merchants!$A$1:$D$41,4,FALSE),"Merchant not found")</f>
        <v>North</v>
      </c>
      <c r="L109" s="3">
        <f>IFERROR(HLOOKUP(F109,Fee_Lookup!$B$1:$E$2,2,FALSE),"Fee not found")</f>
        <v>0.5</v>
      </c>
      <c r="M109" s="3" t="str">
        <f>IF(AND(SUMIF(Transactions!$C$2:$C$548,C109,Transactions!$E$2:$E$548)&gt;5000,K109&lt;&gt;"East"),"High-Value Merchant Day","Normal")</f>
        <v>High-Value Merchant Day</v>
      </c>
    </row>
    <row r="110">
      <c r="A110" s="2" t="s">
        <v>193</v>
      </c>
      <c r="B110" s="2">
        <v>266.0</v>
      </c>
      <c r="C110" s="2">
        <v>29.0</v>
      </c>
      <c r="D110" s="5">
        <v>46047.229166666664</v>
      </c>
      <c r="E110" s="2">
        <v>499.0</v>
      </c>
      <c r="F110" s="2" t="s">
        <v>35</v>
      </c>
      <c r="G110" s="2" t="s">
        <v>64</v>
      </c>
      <c r="H110" s="2">
        <v>35.0</v>
      </c>
      <c r="I110" s="3" t="str">
        <f>IFERROR(VLOOKUP($C110,Merchants!$A$1:$D$41,2,FALSE),"Merchant not found")</f>
        <v>Merchant_029</v>
      </c>
      <c r="J110" s="3" t="str">
        <f>IFERROR(VLOOKUP($C110,Merchants!$A$1:$D$41,3,FALSE),"Merchant not found")</f>
        <v>ecommerce</v>
      </c>
      <c r="K110" s="3" t="str">
        <f>IFERROR(VLOOKUP($C110,Merchants!$A$1:$D$41,4,FALSE),"Merchant not found")</f>
        <v>North</v>
      </c>
      <c r="L110" s="3">
        <f>IFERROR(HLOOKUP(F110,Fee_Lookup!$B$1:$E$2,2,FALSE),"Fee not found")</f>
        <v>1</v>
      </c>
      <c r="M110" s="3" t="str">
        <f>IF(AND(SUMIF(Transactions!$C$2:$C$548,C110,Transactions!$E$2:$E$548)&gt;5000,K110&lt;&gt;"East"),"High-Value Merchant Day","Normal")</f>
        <v>High-Value Merchant Day</v>
      </c>
    </row>
    <row r="111">
      <c r="A111" s="2" t="s">
        <v>194</v>
      </c>
      <c r="B111" s="2">
        <v>326.0</v>
      </c>
      <c r="C111" s="2">
        <v>32.0</v>
      </c>
      <c r="D111" s="5">
        <v>46028.76875</v>
      </c>
      <c r="E111" s="2">
        <v>149.0</v>
      </c>
      <c r="F111" s="2" t="s">
        <v>6</v>
      </c>
      <c r="G111" s="2" t="s">
        <v>36</v>
      </c>
      <c r="H111" s="2">
        <v>11.0</v>
      </c>
      <c r="I111" s="3" t="str">
        <f>IFERROR(VLOOKUP($C111,Merchants!$A$1:$D$41,2,FALSE),"Merchant not found")</f>
        <v>Merchant_032</v>
      </c>
      <c r="J111" s="3" t="str">
        <f>IFERROR(VLOOKUP($C111,Merchants!$A$1:$D$41,3,FALSE),"Merchant not found")</f>
        <v>grocery</v>
      </c>
      <c r="K111" s="3" t="str">
        <f>IFERROR(VLOOKUP($C111,Merchants!$A$1:$D$41,4,FALSE),"Merchant not found")</f>
        <v>North</v>
      </c>
      <c r="L111" s="3">
        <f>IFERROR(HLOOKUP(F111,Fee_Lookup!$B$1:$E$2,2,FALSE),"Fee not found")</f>
        <v>0.5</v>
      </c>
      <c r="M111" s="3" t="str">
        <f>IF(AND(SUMIF(Transactions!$C$2:$C$548,C111,Transactions!$E$2:$E$548)&gt;5000,K111&lt;&gt;"East"),"High-Value Merchant Day","Normal")</f>
        <v>High-Value Merchant Day</v>
      </c>
    </row>
    <row r="112">
      <c r="A112" s="2" t="s">
        <v>195</v>
      </c>
      <c r="B112" s="2">
        <v>171.0</v>
      </c>
      <c r="C112" s="2">
        <v>21.0</v>
      </c>
      <c r="D112" s="5">
        <v>46038.47638888889</v>
      </c>
      <c r="E112" s="2">
        <v>799.0</v>
      </c>
      <c r="F112" s="2" t="s">
        <v>6</v>
      </c>
      <c r="G112" s="2" t="s">
        <v>36</v>
      </c>
      <c r="H112" s="2">
        <v>85.0</v>
      </c>
      <c r="I112" s="3" t="str">
        <f>IFERROR(VLOOKUP($C112,Merchants!$A$1:$D$41,2,FALSE),"Merchant not found")</f>
        <v>Merchant_021</v>
      </c>
      <c r="J112" s="3" t="str">
        <f>IFERROR(VLOOKUP($C112,Merchants!$A$1:$D$41,3,FALSE),"Merchant not found")</f>
        <v>food_delivery</v>
      </c>
      <c r="K112" s="3" t="str">
        <f>IFERROR(VLOOKUP($C112,Merchants!$A$1:$D$41,4,FALSE),"Merchant not found")</f>
        <v>North</v>
      </c>
      <c r="L112" s="3">
        <f>IFERROR(HLOOKUP(F112,Fee_Lookup!$B$1:$E$2,2,FALSE),"Fee not found")</f>
        <v>0.5</v>
      </c>
      <c r="M112" s="3" t="str">
        <f>IF(AND(SUMIF(Transactions!$C$2:$C$548,C112,Transactions!$E$2:$E$548)&gt;5000,K112&lt;&gt;"East"),"High-Value Merchant Day","Normal")</f>
        <v>High-Value Merchant Day</v>
      </c>
    </row>
    <row r="113">
      <c r="A113" s="2" t="s">
        <v>196</v>
      </c>
      <c r="B113" s="2">
        <v>211.0</v>
      </c>
      <c r="C113" s="2">
        <v>32.0</v>
      </c>
      <c r="D113" s="5">
        <v>46026.222916666666</v>
      </c>
      <c r="E113" s="2">
        <v>49.0</v>
      </c>
      <c r="F113" s="2" t="s">
        <v>6</v>
      </c>
      <c r="G113" s="2" t="s">
        <v>36</v>
      </c>
      <c r="H113" s="2">
        <v>36.0</v>
      </c>
      <c r="I113" s="3" t="str">
        <f>IFERROR(VLOOKUP($C113,Merchants!$A$1:$D$41,2,FALSE),"Merchant not found")</f>
        <v>Merchant_032</v>
      </c>
      <c r="J113" s="3" t="str">
        <f>IFERROR(VLOOKUP($C113,Merchants!$A$1:$D$41,3,FALSE),"Merchant not found")</f>
        <v>grocery</v>
      </c>
      <c r="K113" s="3" t="str">
        <f>IFERROR(VLOOKUP($C113,Merchants!$A$1:$D$41,4,FALSE),"Merchant not found")</f>
        <v>North</v>
      </c>
      <c r="L113" s="3">
        <f>IFERROR(HLOOKUP(F113,Fee_Lookup!$B$1:$E$2,2,FALSE),"Fee not found")</f>
        <v>0.5</v>
      </c>
      <c r="M113" s="3" t="str">
        <f>IF(AND(SUMIF(Transactions!$C$2:$C$548,C113,Transactions!$E$2:$E$548)&gt;5000,K113&lt;&gt;"East"),"High-Value Merchant Day","Normal")</f>
        <v>High-Value Merchant Day</v>
      </c>
    </row>
    <row r="114">
      <c r="A114" s="2" t="s">
        <v>197</v>
      </c>
      <c r="B114" s="2">
        <v>282.0</v>
      </c>
      <c r="C114" s="2">
        <v>3.0</v>
      </c>
      <c r="D114" s="5">
        <v>46044.53611111111</v>
      </c>
      <c r="E114" s="2">
        <v>499.0</v>
      </c>
      <c r="F114" s="2" t="s">
        <v>6</v>
      </c>
      <c r="G114" s="2" t="s">
        <v>36</v>
      </c>
      <c r="H114" s="2">
        <v>58.0</v>
      </c>
      <c r="I114" s="3" t="str">
        <f>IFERROR(VLOOKUP($C114,Merchants!$A$1:$D$41,2,FALSE),"Merchant not found")</f>
        <v>Merchant_003</v>
      </c>
      <c r="J114" s="3" t="str">
        <f>IFERROR(VLOOKUP($C114,Merchants!$A$1:$D$41,3,FALSE),"Merchant not found")</f>
        <v>entertainment</v>
      </c>
      <c r="K114" s="3" t="str">
        <f>IFERROR(VLOOKUP($C114,Merchants!$A$1:$D$41,4,FALSE),"Merchant not found")</f>
        <v>East</v>
      </c>
      <c r="L114" s="3">
        <f>IFERROR(HLOOKUP(F114,Fee_Lookup!$B$1:$E$2,2,FALSE),"Fee not found")</f>
        <v>0.5</v>
      </c>
      <c r="M114" s="3" t="str">
        <f>IF(AND(SUMIF(Transactions!$C$2:$C$548,C114,Transactions!$E$2:$E$548)&gt;5000,K114&lt;&gt;"East"),"High-Value Merchant Day","Normal")</f>
        <v>Normal</v>
      </c>
    </row>
    <row r="115">
      <c r="A115" s="2" t="s">
        <v>198</v>
      </c>
      <c r="B115" s="2">
        <v>166.0</v>
      </c>
      <c r="C115" s="2">
        <v>8.0</v>
      </c>
      <c r="D115" s="5">
        <v>46025.427777777775</v>
      </c>
      <c r="E115" s="2">
        <v>299.0</v>
      </c>
      <c r="F115" s="2" t="s">
        <v>6</v>
      </c>
      <c r="G115" s="2" t="s">
        <v>36</v>
      </c>
      <c r="H115" s="2">
        <v>98.0</v>
      </c>
      <c r="I115" s="3" t="str">
        <f>IFERROR(VLOOKUP($C115,Merchants!$A$1:$D$41,2,FALSE),"Merchant not found")</f>
        <v>Merchant_008</v>
      </c>
      <c r="J115" s="3" t="str">
        <f>IFERROR(VLOOKUP($C115,Merchants!$A$1:$D$41,3,FALSE),"Merchant not found")</f>
        <v>travel</v>
      </c>
      <c r="K115" s="3" t="str">
        <f>IFERROR(VLOOKUP($C115,Merchants!$A$1:$D$41,4,FALSE),"Merchant not found")</f>
        <v>North</v>
      </c>
      <c r="L115" s="3">
        <f>IFERROR(HLOOKUP(F115,Fee_Lookup!$B$1:$E$2,2,FALSE),"Fee not found")</f>
        <v>0.5</v>
      </c>
      <c r="M115" s="3" t="str">
        <f>IF(AND(SUMIF(Transactions!$C$2:$C$548,C115,Transactions!$E$2:$E$548)&gt;5000,K115&lt;&gt;"East"),"High-Value Merchant Day","Normal")</f>
        <v>High-Value Merchant Day</v>
      </c>
    </row>
    <row r="116">
      <c r="A116" s="2" t="s">
        <v>199</v>
      </c>
      <c r="B116" s="2">
        <v>1.0</v>
      </c>
      <c r="C116" s="2">
        <v>35.0</v>
      </c>
      <c r="D116" s="5">
        <v>46035.70277777778</v>
      </c>
      <c r="E116" s="2">
        <v>149.0</v>
      </c>
      <c r="F116" s="2" t="s">
        <v>6</v>
      </c>
      <c r="G116" s="2" t="s">
        <v>36</v>
      </c>
      <c r="H116" s="2">
        <v>59.0</v>
      </c>
      <c r="I116" s="3" t="str">
        <f>IFERROR(VLOOKUP($C116,Merchants!$A$1:$D$41,2,FALSE),"Merchant not found")</f>
        <v>Merchant_035</v>
      </c>
      <c r="J116" s="3" t="str">
        <f>IFERROR(VLOOKUP($C116,Merchants!$A$1:$D$41,3,FALSE),"Merchant not found")</f>
        <v>food_delivery</v>
      </c>
      <c r="K116" s="3" t="str">
        <f>IFERROR(VLOOKUP($C116,Merchants!$A$1:$D$41,4,FALSE),"Merchant not found")</f>
        <v>South</v>
      </c>
      <c r="L116" s="3">
        <f>IFERROR(HLOOKUP(F116,Fee_Lookup!$B$1:$E$2,2,FALSE),"Fee not found")</f>
        <v>0.5</v>
      </c>
      <c r="M116" s="3" t="str">
        <f>IF(AND(SUMIF(Transactions!$C$2:$C$548,C116,Transactions!$E$2:$E$548)&gt;5000,K116&lt;&gt;"East"),"High-Value Merchant Day","Normal")</f>
        <v>High-Value Merchant Day</v>
      </c>
    </row>
    <row r="117">
      <c r="A117" s="2" t="s">
        <v>200</v>
      </c>
      <c r="B117" s="2">
        <v>266.0</v>
      </c>
      <c r="C117" s="2">
        <v>24.0</v>
      </c>
      <c r="D117" s="5">
        <v>46036.05</v>
      </c>
      <c r="E117" s="2">
        <v>499.0</v>
      </c>
      <c r="F117" s="2" t="s">
        <v>6</v>
      </c>
      <c r="G117" s="2" t="s">
        <v>36</v>
      </c>
      <c r="H117" s="2">
        <v>79.0</v>
      </c>
      <c r="I117" s="3" t="str">
        <f>IFERROR(VLOOKUP($C117,Merchants!$A$1:$D$41,2,FALSE),"Merchant not found")</f>
        <v>Merchant_024</v>
      </c>
      <c r="J117" s="3" t="str">
        <f>IFERROR(VLOOKUP($C117,Merchants!$A$1:$D$41,3,FALSE),"Merchant not found")</f>
        <v>bill_payment</v>
      </c>
      <c r="K117" s="3" t="str">
        <f>IFERROR(VLOOKUP($C117,Merchants!$A$1:$D$41,4,FALSE),"Merchant not found")</f>
        <v>North</v>
      </c>
      <c r="L117" s="3">
        <f>IFERROR(HLOOKUP(F117,Fee_Lookup!$B$1:$E$2,2,FALSE),"Fee not found")</f>
        <v>0.5</v>
      </c>
      <c r="M117" s="3" t="str">
        <f>IF(AND(SUMIF(Transactions!$C$2:$C$548,C117,Transactions!$E$2:$E$548)&gt;5000,K117&lt;&gt;"East"),"High-Value Merchant Day","Normal")</f>
        <v>Normal</v>
      </c>
    </row>
    <row r="118">
      <c r="A118" s="2" t="s">
        <v>201</v>
      </c>
      <c r="B118" s="2">
        <v>227.0</v>
      </c>
      <c r="C118" s="2">
        <v>4.0</v>
      </c>
      <c r="D118" s="5">
        <v>46047.65277777778</v>
      </c>
      <c r="E118" s="2">
        <v>499.0</v>
      </c>
      <c r="F118" s="2" t="s">
        <v>6</v>
      </c>
      <c r="G118" s="2" t="s">
        <v>36</v>
      </c>
      <c r="H118" s="2">
        <v>26.0</v>
      </c>
      <c r="I118" s="3" t="str">
        <f>IFERROR(VLOOKUP($C118,Merchants!$A$1:$D$41,2,FALSE),"Merchant not found")</f>
        <v>Merchant_004</v>
      </c>
      <c r="J118" s="3" t="str">
        <f>IFERROR(VLOOKUP($C118,Merchants!$A$1:$D$41,3,FALSE),"Merchant not found")</f>
        <v>grocery</v>
      </c>
      <c r="K118" s="3" t="str">
        <f>IFERROR(VLOOKUP($C118,Merchants!$A$1:$D$41,4,FALSE),"Merchant not found")</f>
        <v>West</v>
      </c>
      <c r="L118" s="3">
        <f>IFERROR(HLOOKUP(F118,Fee_Lookup!$B$1:$E$2,2,FALSE),"Fee not found")</f>
        <v>0.5</v>
      </c>
      <c r="M118" s="3" t="str">
        <f>IF(AND(SUMIF(Transactions!$C$2:$C$548,C118,Transactions!$E$2:$E$548)&gt;5000,K118&lt;&gt;"East"),"High-Value Merchant Day","Normal")</f>
        <v>High-Value Merchant Day</v>
      </c>
    </row>
    <row r="119">
      <c r="A119" s="2" t="s">
        <v>202</v>
      </c>
      <c r="B119" s="2">
        <v>148.0</v>
      </c>
      <c r="C119" s="2">
        <v>29.0</v>
      </c>
      <c r="D119" s="5">
        <v>46031.71388888889</v>
      </c>
      <c r="E119" s="2">
        <v>499.0</v>
      </c>
      <c r="F119" s="2" t="s">
        <v>6</v>
      </c>
      <c r="G119" s="2" t="s">
        <v>36</v>
      </c>
      <c r="H119" s="2">
        <v>89.0</v>
      </c>
      <c r="I119" s="3" t="str">
        <f>IFERROR(VLOOKUP($C119,Merchants!$A$1:$D$41,2,FALSE),"Merchant not found")</f>
        <v>Merchant_029</v>
      </c>
      <c r="J119" s="3" t="str">
        <f>IFERROR(VLOOKUP($C119,Merchants!$A$1:$D$41,3,FALSE),"Merchant not found")</f>
        <v>ecommerce</v>
      </c>
      <c r="K119" s="3" t="str">
        <f>IFERROR(VLOOKUP($C119,Merchants!$A$1:$D$41,4,FALSE),"Merchant not found")</f>
        <v>North</v>
      </c>
      <c r="L119" s="3">
        <f>IFERROR(HLOOKUP(F119,Fee_Lookup!$B$1:$E$2,2,FALSE),"Fee not found")</f>
        <v>0.5</v>
      </c>
      <c r="M119" s="3" t="str">
        <f>IF(AND(SUMIF(Transactions!$C$2:$C$548,C119,Transactions!$E$2:$E$548)&gt;5000,K119&lt;&gt;"East"),"High-Value Merchant Day","Normal")</f>
        <v>High-Value Merchant Day</v>
      </c>
    </row>
    <row r="120">
      <c r="A120" s="2" t="s">
        <v>203</v>
      </c>
      <c r="B120" s="2">
        <v>323.0</v>
      </c>
      <c r="C120" s="2">
        <v>39.0</v>
      </c>
      <c r="D120" s="5">
        <v>46038.12569444445</v>
      </c>
      <c r="E120" s="2">
        <v>499.0</v>
      </c>
      <c r="F120" s="2" t="s">
        <v>6</v>
      </c>
      <c r="G120" s="2" t="s">
        <v>36</v>
      </c>
      <c r="H120" s="2">
        <v>30.0</v>
      </c>
      <c r="I120" s="3" t="str">
        <f>IFERROR(VLOOKUP($C120,Merchants!$A$1:$D$41,2,FALSE),"Merchant not found")</f>
        <v>Merchant_039</v>
      </c>
      <c r="J120" s="3" t="str">
        <f>IFERROR(VLOOKUP($C120,Merchants!$A$1:$D$41,3,FALSE),"Merchant not found")</f>
        <v>grocery</v>
      </c>
      <c r="K120" s="3" t="str">
        <f>IFERROR(VLOOKUP($C120,Merchants!$A$1:$D$41,4,FALSE),"Merchant not found")</f>
        <v>South</v>
      </c>
      <c r="L120" s="3">
        <f>IFERROR(HLOOKUP(F120,Fee_Lookup!$B$1:$E$2,2,FALSE),"Fee not found")</f>
        <v>0.5</v>
      </c>
      <c r="M120" s="3" t="str">
        <f>IF(AND(SUMIF(Transactions!$C$2:$C$548,C120,Transactions!$E$2:$E$548)&gt;5000,K120&lt;&gt;"East"),"High-Value Merchant Day","Normal")</f>
        <v>High-Value Merchant Day</v>
      </c>
    </row>
    <row r="121">
      <c r="A121" s="2" t="s">
        <v>204</v>
      </c>
      <c r="B121" s="2">
        <v>283.0</v>
      </c>
      <c r="C121" s="2">
        <v>1.0</v>
      </c>
      <c r="D121" s="5">
        <v>46045.22152777778</v>
      </c>
      <c r="E121" s="2">
        <v>2999.0</v>
      </c>
      <c r="F121" s="2" t="s">
        <v>35</v>
      </c>
      <c r="G121" s="2" t="s">
        <v>36</v>
      </c>
      <c r="H121" s="2">
        <v>70.0</v>
      </c>
      <c r="I121" s="3" t="str">
        <f>IFERROR(VLOOKUP($C121,Merchants!$A$1:$D$41,2,FALSE),"Merchant not found")</f>
        <v>Merchant_001</v>
      </c>
      <c r="J121" s="3" t="str">
        <f>IFERROR(VLOOKUP($C121,Merchants!$A$1:$D$41,3,FALSE),"Merchant not found")</f>
        <v>entertainment</v>
      </c>
      <c r="K121" s="3" t="str">
        <f>IFERROR(VLOOKUP($C121,Merchants!$A$1:$D$41,4,FALSE),"Merchant not found")</f>
        <v>West</v>
      </c>
      <c r="L121" s="3">
        <f>IFERROR(HLOOKUP(F121,Fee_Lookup!$B$1:$E$2,2,FALSE),"Fee not found")</f>
        <v>1</v>
      </c>
      <c r="M121" s="3" t="str">
        <f>IF(AND(SUMIF(Transactions!$C$2:$C$548,C121,Transactions!$E$2:$E$548)&gt;5000,K121&lt;&gt;"East"),"High-Value Merchant Day","Normal")</f>
        <v>High-Value Merchant Day</v>
      </c>
    </row>
    <row r="122">
      <c r="A122" s="2" t="s">
        <v>205</v>
      </c>
      <c r="B122" s="2">
        <v>59.0</v>
      </c>
      <c r="C122" s="2">
        <v>30.0</v>
      </c>
      <c r="D122" s="5">
        <v>46036.09305555555</v>
      </c>
      <c r="E122" s="2">
        <v>499.0</v>
      </c>
      <c r="F122" s="2" t="s">
        <v>6</v>
      </c>
      <c r="G122" s="2" t="s">
        <v>36</v>
      </c>
      <c r="H122" s="2">
        <v>15.0</v>
      </c>
      <c r="I122" s="3" t="str">
        <f>IFERROR(VLOOKUP($C122,Merchants!$A$1:$D$41,2,FALSE),"Merchant not found")</f>
        <v>Merchant_030</v>
      </c>
      <c r="J122" s="3" t="str">
        <f>IFERROR(VLOOKUP($C122,Merchants!$A$1:$D$41,3,FALSE),"Merchant not found")</f>
        <v>travel</v>
      </c>
      <c r="K122" s="3" t="str">
        <f>IFERROR(VLOOKUP($C122,Merchants!$A$1:$D$41,4,FALSE),"Merchant not found")</f>
        <v>West</v>
      </c>
      <c r="L122" s="3">
        <f>IFERROR(HLOOKUP(F122,Fee_Lookup!$B$1:$E$2,2,FALSE),"Fee not found")</f>
        <v>0.5</v>
      </c>
      <c r="M122" s="3" t="str">
        <f>IF(AND(SUMIF(Transactions!$C$2:$C$548,C122,Transactions!$E$2:$E$548)&gt;5000,K122&lt;&gt;"East"),"High-Value Merchant Day","Normal")</f>
        <v>High-Value Merchant Day</v>
      </c>
    </row>
    <row r="123">
      <c r="A123" s="2" t="s">
        <v>206</v>
      </c>
      <c r="B123" s="2">
        <v>150.0</v>
      </c>
      <c r="C123" s="2">
        <v>33.0</v>
      </c>
      <c r="D123" s="5">
        <v>46043.18819444445</v>
      </c>
      <c r="E123" s="2">
        <v>2999.0</v>
      </c>
      <c r="F123" s="2" t="s">
        <v>6</v>
      </c>
      <c r="G123" s="2" t="s">
        <v>36</v>
      </c>
      <c r="H123" s="2">
        <v>90.0</v>
      </c>
      <c r="I123" s="3" t="str">
        <f>IFERROR(VLOOKUP($C123,Merchants!$A$1:$D$41,2,FALSE),"Merchant not found")</f>
        <v>Merchant_033</v>
      </c>
      <c r="J123" s="3" t="str">
        <f>IFERROR(VLOOKUP($C123,Merchants!$A$1:$D$41,3,FALSE),"Merchant not found")</f>
        <v>entertainment</v>
      </c>
      <c r="K123" s="3" t="str">
        <f>IFERROR(VLOOKUP($C123,Merchants!$A$1:$D$41,4,FALSE),"Merchant not found")</f>
        <v>East</v>
      </c>
      <c r="L123" s="3">
        <f>IFERROR(HLOOKUP(F123,Fee_Lookup!$B$1:$E$2,2,FALSE),"Fee not found")</f>
        <v>0.5</v>
      </c>
      <c r="M123" s="3" t="str">
        <f>IF(AND(SUMIF(Transactions!$C$2:$C$548,C123,Transactions!$E$2:$E$548)&gt;5000,K123&lt;&gt;"East"),"High-Value Merchant Day","Normal")</f>
        <v>Normal</v>
      </c>
    </row>
    <row r="124">
      <c r="A124" s="2" t="s">
        <v>207</v>
      </c>
      <c r="B124" s="2">
        <v>248.0</v>
      </c>
      <c r="C124" s="2">
        <v>31.0</v>
      </c>
      <c r="D124" s="5">
        <v>46031.57847222222</v>
      </c>
      <c r="E124" s="2">
        <v>1499.0</v>
      </c>
      <c r="F124" s="2" t="s">
        <v>6</v>
      </c>
      <c r="G124" s="2" t="s">
        <v>64</v>
      </c>
      <c r="H124" s="2">
        <v>31.0</v>
      </c>
      <c r="I124" s="3" t="str">
        <f>IFERROR(VLOOKUP($C124,Merchants!$A$1:$D$41,2,FALSE),"Merchant not found")</f>
        <v>Merchant_031</v>
      </c>
      <c r="J124" s="3" t="str">
        <f>IFERROR(VLOOKUP($C124,Merchants!$A$1:$D$41,3,FALSE),"Merchant not found")</f>
        <v>bill_payment</v>
      </c>
      <c r="K124" s="3" t="str">
        <f>IFERROR(VLOOKUP($C124,Merchants!$A$1:$D$41,4,FALSE),"Merchant not found")</f>
        <v>South</v>
      </c>
      <c r="L124" s="3">
        <f>IFERROR(HLOOKUP(F124,Fee_Lookup!$B$1:$E$2,2,FALSE),"Fee not found")</f>
        <v>0.5</v>
      </c>
      <c r="M124" s="3" t="str">
        <f>IF(AND(SUMIF(Transactions!$C$2:$C$548,C124,Transactions!$E$2:$E$548)&gt;5000,K124&lt;&gt;"East"),"High-Value Merchant Day","Normal")</f>
        <v>Normal</v>
      </c>
    </row>
    <row r="125">
      <c r="A125" s="2" t="s">
        <v>208</v>
      </c>
      <c r="B125" s="2">
        <v>197.0</v>
      </c>
      <c r="C125" s="2">
        <v>13.0</v>
      </c>
      <c r="D125" s="5">
        <v>46037.714583333334</v>
      </c>
      <c r="E125" s="2">
        <v>49.0</v>
      </c>
      <c r="F125" s="2" t="s">
        <v>6</v>
      </c>
      <c r="G125" s="2" t="s">
        <v>36</v>
      </c>
      <c r="H125" s="2">
        <v>76.0</v>
      </c>
      <c r="I125" s="3" t="str">
        <f>IFERROR(VLOOKUP($C125,Merchants!$A$1:$D$41,2,FALSE),"Merchant not found")</f>
        <v>Merchant_013</v>
      </c>
      <c r="J125" s="3" t="str">
        <f>IFERROR(VLOOKUP($C125,Merchants!$A$1:$D$41,3,FALSE),"Merchant not found")</f>
        <v>ecommerce</v>
      </c>
      <c r="K125" s="3" t="str">
        <f>IFERROR(VLOOKUP($C125,Merchants!$A$1:$D$41,4,FALSE),"Merchant not found")</f>
        <v>North</v>
      </c>
      <c r="L125" s="3">
        <f>IFERROR(HLOOKUP(F125,Fee_Lookup!$B$1:$E$2,2,FALSE),"Fee not found")</f>
        <v>0.5</v>
      </c>
      <c r="M125" s="3" t="str">
        <f>IF(AND(SUMIF(Transactions!$C$2:$C$548,C125,Transactions!$E$2:$E$548)&gt;5000,K125&lt;&gt;"East"),"High-Value Merchant Day","Normal")</f>
        <v>High-Value Merchant Day</v>
      </c>
    </row>
    <row r="126">
      <c r="A126" s="2" t="s">
        <v>209</v>
      </c>
      <c r="B126" s="2">
        <v>70.0</v>
      </c>
      <c r="C126" s="2">
        <v>5.0</v>
      </c>
      <c r="D126" s="5">
        <v>46039.99722222222</v>
      </c>
      <c r="E126" s="2">
        <v>499.0</v>
      </c>
      <c r="F126" s="2" t="s">
        <v>6</v>
      </c>
      <c r="G126" s="2" t="s">
        <v>36</v>
      </c>
      <c r="H126" s="2">
        <v>35.0</v>
      </c>
      <c r="I126" s="3" t="str">
        <f>IFERROR(VLOOKUP($C126,Merchants!$A$1:$D$41,2,FALSE),"Merchant not found")</f>
        <v>Merchant_005</v>
      </c>
      <c r="J126" s="3" t="str">
        <f>IFERROR(VLOOKUP($C126,Merchants!$A$1:$D$41,3,FALSE),"Merchant not found")</f>
        <v>food_delivery</v>
      </c>
      <c r="K126" s="3" t="str">
        <f>IFERROR(VLOOKUP($C126,Merchants!$A$1:$D$41,4,FALSE),"Merchant not found")</f>
        <v>West</v>
      </c>
      <c r="L126" s="3">
        <f>IFERROR(HLOOKUP(F126,Fee_Lookup!$B$1:$E$2,2,FALSE),"Fee not found")</f>
        <v>0.5</v>
      </c>
      <c r="M126" s="3" t="str">
        <f>IF(AND(SUMIF(Transactions!$C$2:$C$548,C126,Transactions!$E$2:$E$548)&gt;5000,K126&lt;&gt;"East"),"High-Value Merchant Day","Normal")</f>
        <v>High-Value Merchant Day</v>
      </c>
    </row>
    <row r="127">
      <c r="A127" s="2" t="s">
        <v>210</v>
      </c>
      <c r="B127" s="2">
        <v>260.0</v>
      </c>
      <c r="C127" s="2">
        <v>18.0</v>
      </c>
      <c r="D127" s="5">
        <v>46047.55625</v>
      </c>
      <c r="E127" s="2">
        <v>1499.0</v>
      </c>
      <c r="F127" s="2" t="s">
        <v>6</v>
      </c>
      <c r="G127" s="2" t="s">
        <v>36</v>
      </c>
      <c r="H127" s="2">
        <v>0.0</v>
      </c>
      <c r="I127" s="3" t="str">
        <f>IFERROR(VLOOKUP($C127,Merchants!$A$1:$D$41,2,FALSE),"Merchant not found")</f>
        <v>Merchant_018</v>
      </c>
      <c r="J127" s="3" t="str">
        <f>IFERROR(VLOOKUP($C127,Merchants!$A$1:$D$41,3,FALSE),"Merchant not found")</f>
        <v>grocery</v>
      </c>
      <c r="K127" s="3" t="str">
        <f>IFERROR(VLOOKUP($C127,Merchants!$A$1:$D$41,4,FALSE),"Merchant not found")</f>
        <v>South</v>
      </c>
      <c r="L127" s="3">
        <f>IFERROR(HLOOKUP(F127,Fee_Lookup!$B$1:$E$2,2,FALSE),"Fee not found")</f>
        <v>0.5</v>
      </c>
      <c r="M127" s="3" t="str">
        <f>IF(AND(SUMIF(Transactions!$C$2:$C$548,C127,Transactions!$E$2:$E$548)&gt;5000,K127&lt;&gt;"East"),"High-Value Merchant Day","Normal")</f>
        <v>High-Value Merchant Day</v>
      </c>
    </row>
    <row r="128">
      <c r="A128" s="2" t="s">
        <v>211</v>
      </c>
      <c r="B128" s="2">
        <v>301.0</v>
      </c>
      <c r="C128" s="2">
        <v>38.0</v>
      </c>
      <c r="D128" s="5">
        <v>46032.97152777778</v>
      </c>
      <c r="E128" s="2">
        <v>99.0</v>
      </c>
      <c r="F128" s="2" t="s">
        <v>6</v>
      </c>
      <c r="G128" s="2" t="s">
        <v>36</v>
      </c>
      <c r="H128" s="2">
        <v>84.0</v>
      </c>
      <c r="I128" s="3" t="str">
        <f>IFERROR(VLOOKUP($C128,Merchants!$A$1:$D$41,2,FALSE),"Merchant not found")</f>
        <v>Merchant_038</v>
      </c>
      <c r="J128" s="3" t="str">
        <f>IFERROR(VLOOKUP($C128,Merchants!$A$1:$D$41,3,FALSE),"Merchant not found")</f>
        <v>bill_payment</v>
      </c>
      <c r="K128" s="3" t="str">
        <f>IFERROR(VLOOKUP($C128,Merchants!$A$1:$D$41,4,FALSE),"Merchant not found")</f>
        <v>West</v>
      </c>
      <c r="L128" s="3">
        <f>IFERROR(HLOOKUP(F128,Fee_Lookup!$B$1:$E$2,2,FALSE),"Fee not found")</f>
        <v>0.5</v>
      </c>
      <c r="M128" s="3" t="str">
        <f>IF(AND(SUMIF(Transactions!$C$2:$C$548,C128,Transactions!$E$2:$E$548)&gt;5000,K128&lt;&gt;"East"),"High-Value Merchant Day","Normal")</f>
        <v>Normal</v>
      </c>
    </row>
    <row r="129">
      <c r="A129" s="2" t="s">
        <v>212</v>
      </c>
      <c r="B129" s="2">
        <v>276.0</v>
      </c>
      <c r="C129" s="2">
        <v>31.0</v>
      </c>
      <c r="D129" s="5">
        <v>46038.186111111114</v>
      </c>
      <c r="E129" s="2">
        <v>499.0</v>
      </c>
      <c r="F129" s="2" t="s">
        <v>96</v>
      </c>
      <c r="G129" s="2" t="s">
        <v>36</v>
      </c>
      <c r="H129" s="2">
        <v>44.0</v>
      </c>
      <c r="I129" s="3" t="str">
        <f>IFERROR(VLOOKUP($C129,Merchants!$A$1:$D$41,2,FALSE),"Merchant not found")</f>
        <v>Merchant_031</v>
      </c>
      <c r="J129" s="3" t="str">
        <f>IFERROR(VLOOKUP($C129,Merchants!$A$1:$D$41,3,FALSE),"Merchant not found")</f>
        <v>bill_payment</v>
      </c>
      <c r="K129" s="3" t="str">
        <f>IFERROR(VLOOKUP($C129,Merchants!$A$1:$D$41,4,FALSE),"Merchant not found")</f>
        <v>South</v>
      </c>
      <c r="L129" s="3">
        <f>IFERROR(HLOOKUP(F129,Fee_Lookup!$B$1:$E$2,2,FALSE),"Fee not found")</f>
        <v>1.8</v>
      </c>
      <c r="M129" s="3" t="str">
        <f>IF(AND(SUMIF(Transactions!$C$2:$C$548,C129,Transactions!$E$2:$E$548)&gt;5000,K129&lt;&gt;"East"),"High-Value Merchant Day","Normal")</f>
        <v>Normal</v>
      </c>
    </row>
    <row r="130">
      <c r="A130" s="2" t="s">
        <v>213</v>
      </c>
      <c r="B130" s="2">
        <v>279.0</v>
      </c>
      <c r="C130" s="2">
        <v>25.0</v>
      </c>
      <c r="D130" s="5">
        <v>46033.74166666667</v>
      </c>
      <c r="E130" s="2">
        <v>799.0</v>
      </c>
      <c r="F130" s="2" t="s">
        <v>6</v>
      </c>
      <c r="G130" s="2" t="s">
        <v>36</v>
      </c>
      <c r="H130" s="2">
        <v>58.0</v>
      </c>
      <c r="I130" s="3" t="str">
        <f>IFERROR(VLOOKUP($C130,Merchants!$A$1:$D$41,2,FALSE),"Merchant not found")</f>
        <v>Merchant_025</v>
      </c>
      <c r="J130" s="3" t="str">
        <f>IFERROR(VLOOKUP($C130,Merchants!$A$1:$D$41,3,FALSE),"Merchant not found")</f>
        <v>grocery</v>
      </c>
      <c r="K130" s="3" t="str">
        <f>IFERROR(VLOOKUP($C130,Merchants!$A$1:$D$41,4,FALSE),"Merchant not found")</f>
        <v>East</v>
      </c>
      <c r="L130" s="3">
        <f>IFERROR(HLOOKUP(F130,Fee_Lookup!$B$1:$E$2,2,FALSE),"Fee not found")</f>
        <v>0.5</v>
      </c>
      <c r="M130" s="3" t="str">
        <f>IF(AND(SUMIF(Transactions!$C$2:$C$548,C130,Transactions!$E$2:$E$548)&gt;5000,K130&lt;&gt;"East"),"High-Value Merchant Day","Normal")</f>
        <v>Normal</v>
      </c>
    </row>
    <row r="131">
      <c r="A131" s="2" t="s">
        <v>214</v>
      </c>
      <c r="B131" s="2">
        <v>97.0</v>
      </c>
      <c r="C131" s="2">
        <v>16.0</v>
      </c>
      <c r="D131" s="5">
        <v>46052.45486111111</v>
      </c>
      <c r="E131" s="2">
        <v>799.0</v>
      </c>
      <c r="F131" s="2" t="s">
        <v>96</v>
      </c>
      <c r="G131" s="2" t="s">
        <v>36</v>
      </c>
      <c r="H131" s="2">
        <v>73.0</v>
      </c>
      <c r="I131" s="3" t="str">
        <f>IFERROR(VLOOKUP($C131,Merchants!$A$1:$D$41,2,FALSE),"Merchant not found")</f>
        <v>Merchant_016</v>
      </c>
      <c r="J131" s="3" t="str">
        <f>IFERROR(VLOOKUP($C131,Merchants!$A$1:$D$41,3,FALSE),"Merchant not found")</f>
        <v>entertainment</v>
      </c>
      <c r="K131" s="3" t="str">
        <f>IFERROR(VLOOKUP($C131,Merchants!$A$1:$D$41,4,FALSE),"Merchant not found")</f>
        <v>North</v>
      </c>
      <c r="L131" s="3">
        <f>IFERROR(HLOOKUP(F131,Fee_Lookup!$B$1:$E$2,2,FALSE),"Fee not found")</f>
        <v>1.8</v>
      </c>
      <c r="M131" s="3" t="str">
        <f>IF(AND(SUMIF(Transactions!$C$2:$C$548,C131,Transactions!$E$2:$E$548)&gt;5000,K131&lt;&gt;"East"),"High-Value Merchant Day","Normal")</f>
        <v>High-Value Merchant Day</v>
      </c>
    </row>
    <row r="132">
      <c r="A132" s="2" t="s">
        <v>215</v>
      </c>
      <c r="B132" s="2">
        <v>211.0</v>
      </c>
      <c r="C132" s="2">
        <v>3.0</v>
      </c>
      <c r="D132" s="5">
        <v>46035.32916666667</v>
      </c>
      <c r="E132" s="2">
        <v>149.0</v>
      </c>
      <c r="F132" s="2" t="s">
        <v>6</v>
      </c>
      <c r="G132" s="2" t="s">
        <v>62</v>
      </c>
      <c r="H132" s="2">
        <v>40.0</v>
      </c>
      <c r="I132" s="3" t="str">
        <f>IFERROR(VLOOKUP($C132,Merchants!$A$1:$D$41,2,FALSE),"Merchant not found")</f>
        <v>Merchant_003</v>
      </c>
      <c r="J132" s="3" t="str">
        <f>IFERROR(VLOOKUP($C132,Merchants!$A$1:$D$41,3,FALSE),"Merchant not found")</f>
        <v>entertainment</v>
      </c>
      <c r="K132" s="3" t="str">
        <f>IFERROR(VLOOKUP($C132,Merchants!$A$1:$D$41,4,FALSE),"Merchant not found")</f>
        <v>East</v>
      </c>
      <c r="L132" s="3">
        <f>IFERROR(HLOOKUP(F132,Fee_Lookup!$B$1:$E$2,2,FALSE),"Fee not found")</f>
        <v>0.5</v>
      </c>
      <c r="M132" s="3" t="str">
        <f>IF(AND(SUMIF(Transactions!$C$2:$C$548,C132,Transactions!$E$2:$E$548)&gt;5000,K132&lt;&gt;"East"),"High-Value Merchant Day","Normal")</f>
        <v>Normal</v>
      </c>
    </row>
    <row r="133">
      <c r="A133" s="2" t="s">
        <v>216</v>
      </c>
      <c r="B133" s="2">
        <v>196.0</v>
      </c>
      <c r="C133" s="2">
        <v>25.0</v>
      </c>
      <c r="D133" s="5">
        <v>46046.65625</v>
      </c>
      <c r="E133" s="2">
        <v>149.0</v>
      </c>
      <c r="F133" s="2" t="s">
        <v>79</v>
      </c>
      <c r="G133" s="2" t="s">
        <v>36</v>
      </c>
      <c r="H133" s="2">
        <v>84.0</v>
      </c>
      <c r="I133" s="3" t="str">
        <f>IFERROR(VLOOKUP($C133,Merchants!$A$1:$D$41,2,FALSE),"Merchant not found")</f>
        <v>Merchant_025</v>
      </c>
      <c r="J133" s="3" t="str">
        <f>IFERROR(VLOOKUP($C133,Merchants!$A$1:$D$41,3,FALSE),"Merchant not found")</f>
        <v>grocery</v>
      </c>
      <c r="K133" s="3" t="str">
        <f>IFERROR(VLOOKUP($C133,Merchants!$A$1:$D$41,4,FALSE),"Merchant not found")</f>
        <v>East</v>
      </c>
      <c r="L133" s="3">
        <f>IFERROR(HLOOKUP(F133,Fee_Lookup!$B$1:$E$2,2,FALSE),"Fee not found")</f>
        <v>1.5</v>
      </c>
      <c r="M133" s="3" t="str">
        <f>IF(AND(SUMIF(Transactions!$C$2:$C$548,C133,Transactions!$E$2:$E$548)&gt;5000,K133&lt;&gt;"East"),"High-Value Merchant Day","Normal")</f>
        <v>Normal</v>
      </c>
    </row>
    <row r="134">
      <c r="A134" s="2" t="s">
        <v>217</v>
      </c>
      <c r="B134" s="2">
        <v>254.0</v>
      </c>
      <c r="C134" s="2">
        <v>3.0</v>
      </c>
      <c r="D134" s="5">
        <v>46048.839583333334</v>
      </c>
      <c r="E134" s="2">
        <v>149.0</v>
      </c>
      <c r="F134" s="2" t="s">
        <v>96</v>
      </c>
      <c r="G134" s="2" t="s">
        <v>36</v>
      </c>
      <c r="H134" s="2">
        <v>16.0</v>
      </c>
      <c r="I134" s="3" t="str">
        <f>IFERROR(VLOOKUP($C134,Merchants!$A$1:$D$41,2,FALSE),"Merchant not found")</f>
        <v>Merchant_003</v>
      </c>
      <c r="J134" s="3" t="str">
        <f>IFERROR(VLOOKUP($C134,Merchants!$A$1:$D$41,3,FALSE),"Merchant not found")</f>
        <v>entertainment</v>
      </c>
      <c r="K134" s="3" t="str">
        <f>IFERROR(VLOOKUP($C134,Merchants!$A$1:$D$41,4,FALSE),"Merchant not found")</f>
        <v>East</v>
      </c>
      <c r="L134" s="3">
        <f>IFERROR(HLOOKUP(F134,Fee_Lookup!$B$1:$E$2,2,FALSE),"Fee not found")</f>
        <v>1.8</v>
      </c>
      <c r="M134" s="3" t="str">
        <f>IF(AND(SUMIF(Transactions!$C$2:$C$548,C134,Transactions!$E$2:$E$548)&gt;5000,K134&lt;&gt;"East"),"High-Value Merchant Day","Normal")</f>
        <v>Normal</v>
      </c>
    </row>
    <row r="135">
      <c r="A135" s="2" t="s">
        <v>218</v>
      </c>
      <c r="B135" s="2">
        <v>52.0</v>
      </c>
      <c r="C135" s="2">
        <v>29.0</v>
      </c>
      <c r="D135" s="5">
        <v>46039.76458333333</v>
      </c>
      <c r="E135" s="2">
        <v>49.0</v>
      </c>
      <c r="F135" s="2" t="s">
        <v>79</v>
      </c>
      <c r="G135" s="2" t="s">
        <v>36</v>
      </c>
      <c r="H135" s="2">
        <v>12.0</v>
      </c>
      <c r="I135" s="3" t="str">
        <f>IFERROR(VLOOKUP($C135,Merchants!$A$1:$D$41,2,FALSE),"Merchant not found")</f>
        <v>Merchant_029</v>
      </c>
      <c r="J135" s="3" t="str">
        <f>IFERROR(VLOOKUP($C135,Merchants!$A$1:$D$41,3,FALSE),"Merchant not found")</f>
        <v>ecommerce</v>
      </c>
      <c r="K135" s="3" t="str">
        <f>IFERROR(VLOOKUP($C135,Merchants!$A$1:$D$41,4,FALSE),"Merchant not found")</f>
        <v>North</v>
      </c>
      <c r="L135" s="3">
        <f>IFERROR(HLOOKUP(F135,Fee_Lookup!$B$1:$E$2,2,FALSE),"Fee not found")</f>
        <v>1.5</v>
      </c>
      <c r="M135" s="3" t="str">
        <f>IF(AND(SUMIF(Transactions!$C$2:$C$548,C135,Transactions!$E$2:$E$548)&gt;5000,K135&lt;&gt;"East"),"High-Value Merchant Day","Normal")</f>
        <v>High-Value Merchant Day</v>
      </c>
    </row>
    <row r="136">
      <c r="A136" s="2" t="s">
        <v>219</v>
      </c>
      <c r="B136" s="2">
        <v>74.0</v>
      </c>
      <c r="C136" s="2">
        <v>27.0</v>
      </c>
      <c r="D136" s="5">
        <v>46039.583333333336</v>
      </c>
      <c r="E136" s="2">
        <v>799.0</v>
      </c>
      <c r="F136" s="2" t="s">
        <v>6</v>
      </c>
      <c r="G136" s="2" t="s">
        <v>36</v>
      </c>
      <c r="H136" s="2">
        <v>83.0</v>
      </c>
      <c r="I136" s="3" t="str">
        <f>IFERROR(VLOOKUP($C136,Merchants!$A$1:$D$41,2,FALSE),"Merchant not found")</f>
        <v>Merchant_027</v>
      </c>
      <c r="J136" s="3" t="str">
        <f>IFERROR(VLOOKUP($C136,Merchants!$A$1:$D$41,3,FALSE),"Merchant not found")</f>
        <v>recharge</v>
      </c>
      <c r="K136" s="3" t="str">
        <f>IFERROR(VLOOKUP($C136,Merchants!$A$1:$D$41,4,FALSE),"Merchant not found")</f>
        <v>South</v>
      </c>
      <c r="L136" s="3">
        <f>IFERROR(HLOOKUP(F136,Fee_Lookup!$B$1:$E$2,2,FALSE),"Fee not found")</f>
        <v>0.5</v>
      </c>
      <c r="M136" s="3" t="str">
        <f>IF(AND(SUMIF(Transactions!$C$2:$C$548,C136,Transactions!$E$2:$E$548)&gt;5000,K136&lt;&gt;"East"),"High-Value Merchant Day","Normal")</f>
        <v>High-Value Merchant Day</v>
      </c>
    </row>
    <row r="137">
      <c r="A137" s="2" t="s">
        <v>220</v>
      </c>
      <c r="B137" s="2">
        <v>136.0</v>
      </c>
      <c r="C137" s="2">
        <v>22.0</v>
      </c>
      <c r="D137" s="5">
        <v>46027.104166666664</v>
      </c>
      <c r="E137" s="2">
        <v>149.0</v>
      </c>
      <c r="F137" s="2" t="s">
        <v>6</v>
      </c>
      <c r="G137" s="2" t="s">
        <v>36</v>
      </c>
      <c r="H137" s="2">
        <v>79.0</v>
      </c>
      <c r="I137" s="3" t="str">
        <f>IFERROR(VLOOKUP($C137,Merchants!$A$1:$D$41,2,FALSE),"Merchant not found")</f>
        <v>Merchant_022</v>
      </c>
      <c r="J137" s="3" t="str">
        <f>IFERROR(VLOOKUP($C137,Merchants!$A$1:$D$41,3,FALSE),"Merchant not found")</f>
        <v>ecommerce</v>
      </c>
      <c r="K137" s="3" t="str">
        <f>IFERROR(VLOOKUP($C137,Merchants!$A$1:$D$41,4,FALSE),"Merchant not found")</f>
        <v>West</v>
      </c>
      <c r="L137" s="3">
        <f>IFERROR(HLOOKUP(F137,Fee_Lookup!$B$1:$E$2,2,FALSE),"Fee not found")</f>
        <v>0.5</v>
      </c>
      <c r="M137" s="3" t="str">
        <f>IF(AND(SUMIF(Transactions!$C$2:$C$548,C137,Transactions!$E$2:$E$548)&gt;5000,K137&lt;&gt;"East"),"High-Value Merchant Day","Normal")</f>
        <v>High-Value Merchant Day</v>
      </c>
    </row>
    <row r="138">
      <c r="A138" s="2" t="s">
        <v>221</v>
      </c>
      <c r="B138" s="2">
        <v>42.0</v>
      </c>
      <c r="C138" s="2">
        <v>22.0</v>
      </c>
      <c r="D138" s="5">
        <v>46045.52847222222</v>
      </c>
      <c r="E138" s="2">
        <v>49.0</v>
      </c>
      <c r="F138" s="2" t="s">
        <v>6</v>
      </c>
      <c r="G138" s="2" t="s">
        <v>36</v>
      </c>
      <c r="H138" s="2">
        <v>86.0</v>
      </c>
      <c r="I138" s="3" t="str">
        <f>IFERROR(VLOOKUP($C138,Merchants!$A$1:$D$41,2,FALSE),"Merchant not found")</f>
        <v>Merchant_022</v>
      </c>
      <c r="J138" s="3" t="str">
        <f>IFERROR(VLOOKUP($C138,Merchants!$A$1:$D$41,3,FALSE),"Merchant not found")</f>
        <v>ecommerce</v>
      </c>
      <c r="K138" s="3" t="str">
        <f>IFERROR(VLOOKUP($C138,Merchants!$A$1:$D$41,4,FALSE),"Merchant not found")</f>
        <v>West</v>
      </c>
      <c r="L138" s="3">
        <f>IFERROR(HLOOKUP(F138,Fee_Lookup!$B$1:$E$2,2,FALSE),"Fee not found")</f>
        <v>0.5</v>
      </c>
      <c r="M138" s="3" t="str">
        <f>IF(AND(SUMIF(Transactions!$C$2:$C$548,C138,Transactions!$E$2:$E$548)&gt;5000,K138&lt;&gt;"East"),"High-Value Merchant Day","Normal")</f>
        <v>High-Value Merchant Day</v>
      </c>
    </row>
    <row r="139">
      <c r="A139" s="2" t="s">
        <v>222</v>
      </c>
      <c r="B139" s="2">
        <v>163.0</v>
      </c>
      <c r="C139" s="2">
        <v>32.0</v>
      </c>
      <c r="D139" s="5">
        <v>46050.725</v>
      </c>
      <c r="E139" s="2">
        <v>2999.0</v>
      </c>
      <c r="F139" s="2" t="s">
        <v>35</v>
      </c>
      <c r="G139" s="2" t="s">
        <v>64</v>
      </c>
      <c r="H139" s="2">
        <v>69.0</v>
      </c>
      <c r="I139" s="3" t="str">
        <f>IFERROR(VLOOKUP($C139,Merchants!$A$1:$D$41,2,FALSE),"Merchant not found")</f>
        <v>Merchant_032</v>
      </c>
      <c r="J139" s="3" t="str">
        <f>IFERROR(VLOOKUP($C139,Merchants!$A$1:$D$41,3,FALSE),"Merchant not found")</f>
        <v>grocery</v>
      </c>
      <c r="K139" s="3" t="str">
        <f>IFERROR(VLOOKUP($C139,Merchants!$A$1:$D$41,4,FALSE),"Merchant not found")</f>
        <v>North</v>
      </c>
      <c r="L139" s="3">
        <f>IFERROR(HLOOKUP(F139,Fee_Lookup!$B$1:$E$2,2,FALSE),"Fee not found")</f>
        <v>1</v>
      </c>
      <c r="M139" s="3" t="str">
        <f>IF(AND(SUMIF(Transactions!$C$2:$C$548,C139,Transactions!$E$2:$E$548)&gt;5000,K139&lt;&gt;"East"),"High-Value Merchant Day","Normal")</f>
        <v>High-Value Merchant Day</v>
      </c>
    </row>
    <row r="140">
      <c r="A140" s="2" t="s">
        <v>223</v>
      </c>
      <c r="B140" s="2">
        <v>121.0</v>
      </c>
      <c r="C140" s="2">
        <v>19.0</v>
      </c>
      <c r="D140" s="5">
        <v>46024.794444444444</v>
      </c>
      <c r="E140" s="2">
        <v>149.0</v>
      </c>
      <c r="F140" s="2" t="s">
        <v>6</v>
      </c>
      <c r="G140" s="2" t="s">
        <v>36</v>
      </c>
      <c r="H140" s="2">
        <v>29.0</v>
      </c>
      <c r="I140" s="3" t="str">
        <f>IFERROR(VLOOKUP($C140,Merchants!$A$1:$D$41,2,FALSE),"Merchant not found")</f>
        <v>Merchant_019</v>
      </c>
      <c r="J140" s="3" t="str">
        <f>IFERROR(VLOOKUP($C140,Merchants!$A$1:$D$41,3,FALSE),"Merchant not found")</f>
        <v>recharge</v>
      </c>
      <c r="K140" s="3" t="str">
        <f>IFERROR(VLOOKUP($C140,Merchants!$A$1:$D$41,4,FALSE),"Merchant not found")</f>
        <v>North</v>
      </c>
      <c r="L140" s="3">
        <f>IFERROR(HLOOKUP(F140,Fee_Lookup!$B$1:$E$2,2,FALSE),"Fee not found")</f>
        <v>0.5</v>
      </c>
      <c r="M140" s="3" t="str">
        <f>IF(AND(SUMIF(Transactions!$C$2:$C$548,C140,Transactions!$E$2:$E$548)&gt;5000,K140&lt;&gt;"East"),"High-Value Merchant Day","Normal")</f>
        <v>High-Value Merchant Day</v>
      </c>
    </row>
    <row r="141">
      <c r="A141" s="2" t="s">
        <v>224</v>
      </c>
      <c r="B141" s="2">
        <v>51.0</v>
      </c>
      <c r="C141" s="2">
        <v>7.0</v>
      </c>
      <c r="D141" s="5">
        <v>46046.10208333333</v>
      </c>
      <c r="E141" s="2">
        <v>499.0</v>
      </c>
      <c r="F141" s="2" t="s">
        <v>96</v>
      </c>
      <c r="G141" s="2" t="s">
        <v>36</v>
      </c>
      <c r="H141" s="2">
        <v>56.0</v>
      </c>
      <c r="I141" s="3" t="str">
        <f>IFERROR(VLOOKUP($C141,Merchants!$A$1:$D$41,2,FALSE),"Merchant not found")</f>
        <v>Merchant_007</v>
      </c>
      <c r="J141" s="3" t="str">
        <f>IFERROR(VLOOKUP($C141,Merchants!$A$1:$D$41,3,FALSE),"Merchant not found")</f>
        <v>bill_payment</v>
      </c>
      <c r="K141" s="3" t="str">
        <f>IFERROR(VLOOKUP($C141,Merchants!$A$1:$D$41,4,FALSE),"Merchant not found")</f>
        <v>South</v>
      </c>
      <c r="L141" s="3">
        <f>IFERROR(HLOOKUP(F141,Fee_Lookup!$B$1:$E$2,2,FALSE),"Fee not found")</f>
        <v>1.8</v>
      </c>
      <c r="M141" s="3" t="str">
        <f>IF(AND(SUMIF(Transactions!$C$2:$C$548,C141,Transactions!$E$2:$E$548)&gt;5000,K141&lt;&gt;"East"),"High-Value Merchant Day","Normal")</f>
        <v>High-Value Merchant Day</v>
      </c>
    </row>
    <row r="142">
      <c r="A142" s="2" t="s">
        <v>225</v>
      </c>
      <c r="B142" s="2">
        <v>15.0</v>
      </c>
      <c r="C142" s="2">
        <v>3.0</v>
      </c>
      <c r="D142" s="5">
        <v>46028.92986111111</v>
      </c>
      <c r="E142" s="2">
        <v>799.0</v>
      </c>
      <c r="F142" s="2" t="s">
        <v>6</v>
      </c>
      <c r="G142" s="2" t="s">
        <v>36</v>
      </c>
      <c r="H142" s="2">
        <v>41.0</v>
      </c>
      <c r="I142" s="3" t="str">
        <f>IFERROR(VLOOKUP($C142,Merchants!$A$1:$D$41,2,FALSE),"Merchant not found")</f>
        <v>Merchant_003</v>
      </c>
      <c r="J142" s="3" t="str">
        <f>IFERROR(VLOOKUP($C142,Merchants!$A$1:$D$41,3,FALSE),"Merchant not found")</f>
        <v>entertainment</v>
      </c>
      <c r="K142" s="3" t="str">
        <f>IFERROR(VLOOKUP($C142,Merchants!$A$1:$D$41,4,FALSE),"Merchant not found")</f>
        <v>East</v>
      </c>
      <c r="L142" s="3">
        <f>IFERROR(HLOOKUP(F142,Fee_Lookup!$B$1:$E$2,2,FALSE),"Fee not found")</f>
        <v>0.5</v>
      </c>
      <c r="M142" s="3" t="str">
        <f>IF(AND(SUMIF(Transactions!$C$2:$C$548,C142,Transactions!$E$2:$E$548)&gt;5000,K142&lt;&gt;"East"),"High-Value Merchant Day","Normal")</f>
        <v>Normal</v>
      </c>
    </row>
    <row r="143">
      <c r="A143" s="2" t="s">
        <v>226</v>
      </c>
      <c r="B143" s="2">
        <v>184.0</v>
      </c>
      <c r="C143" s="2">
        <v>24.0</v>
      </c>
      <c r="D143" s="5">
        <v>46048.05416666667</v>
      </c>
      <c r="E143" s="2">
        <v>49.0</v>
      </c>
      <c r="F143" s="2" t="s">
        <v>6</v>
      </c>
      <c r="G143" s="2" t="s">
        <v>36</v>
      </c>
      <c r="H143" s="2">
        <v>55.0</v>
      </c>
      <c r="I143" s="3" t="str">
        <f>IFERROR(VLOOKUP($C143,Merchants!$A$1:$D$41,2,FALSE),"Merchant not found")</f>
        <v>Merchant_024</v>
      </c>
      <c r="J143" s="3" t="str">
        <f>IFERROR(VLOOKUP($C143,Merchants!$A$1:$D$41,3,FALSE),"Merchant not found")</f>
        <v>bill_payment</v>
      </c>
      <c r="K143" s="3" t="str">
        <f>IFERROR(VLOOKUP($C143,Merchants!$A$1:$D$41,4,FALSE),"Merchant not found")</f>
        <v>North</v>
      </c>
      <c r="L143" s="3">
        <f>IFERROR(HLOOKUP(F143,Fee_Lookup!$B$1:$E$2,2,FALSE),"Fee not found")</f>
        <v>0.5</v>
      </c>
      <c r="M143" s="3" t="str">
        <f>IF(AND(SUMIF(Transactions!$C$2:$C$548,C143,Transactions!$E$2:$E$548)&gt;5000,K143&lt;&gt;"East"),"High-Value Merchant Day","Normal")</f>
        <v>Normal</v>
      </c>
    </row>
    <row r="144">
      <c r="A144" s="2" t="s">
        <v>227</v>
      </c>
      <c r="B144" s="2">
        <v>211.0</v>
      </c>
      <c r="C144" s="2">
        <v>37.0</v>
      </c>
      <c r="D144" s="5">
        <v>46027.31458333333</v>
      </c>
      <c r="E144" s="2">
        <v>1499.0</v>
      </c>
      <c r="F144" s="2" t="s">
        <v>6</v>
      </c>
      <c r="G144" s="2" t="s">
        <v>36</v>
      </c>
      <c r="H144" s="2">
        <v>87.0</v>
      </c>
      <c r="I144" s="3" t="str">
        <f>IFERROR(VLOOKUP($C144,Merchants!$A$1:$D$41,2,FALSE),"Merchant not found")</f>
        <v>Merchant_037</v>
      </c>
      <c r="J144" s="3" t="str">
        <f>IFERROR(VLOOKUP($C144,Merchants!$A$1:$D$41,3,FALSE),"Merchant not found")</f>
        <v>travel</v>
      </c>
      <c r="K144" s="3" t="str">
        <f>IFERROR(VLOOKUP($C144,Merchants!$A$1:$D$41,4,FALSE),"Merchant not found")</f>
        <v>North</v>
      </c>
      <c r="L144" s="3">
        <f>IFERROR(HLOOKUP(F144,Fee_Lookup!$B$1:$E$2,2,FALSE),"Fee not found")</f>
        <v>0.5</v>
      </c>
      <c r="M144" s="3" t="str">
        <f>IF(AND(SUMIF(Transactions!$C$2:$C$548,C144,Transactions!$E$2:$E$548)&gt;5000,K144&lt;&gt;"East"),"High-Value Merchant Day","Normal")</f>
        <v>High-Value Merchant Day</v>
      </c>
    </row>
    <row r="145">
      <c r="A145" s="2" t="s">
        <v>228</v>
      </c>
      <c r="B145" s="2">
        <v>90.0</v>
      </c>
      <c r="C145" s="2">
        <v>6.0</v>
      </c>
      <c r="D145" s="5">
        <v>46048.21527777778</v>
      </c>
      <c r="E145" s="2">
        <v>49.0</v>
      </c>
      <c r="F145" s="2" t="s">
        <v>96</v>
      </c>
      <c r="G145" s="2" t="s">
        <v>36</v>
      </c>
      <c r="H145" s="2">
        <v>78.0</v>
      </c>
      <c r="I145" s="3" t="str">
        <f>IFERROR(VLOOKUP($C145,Merchants!$A$1:$D$41,2,FALSE),"Merchant not found")</f>
        <v>Merchant_006</v>
      </c>
      <c r="J145" s="3" t="str">
        <f>IFERROR(VLOOKUP($C145,Merchants!$A$1:$D$41,3,FALSE),"Merchant not found")</f>
        <v>entertainment</v>
      </c>
      <c r="K145" s="3" t="str">
        <f>IFERROR(VLOOKUP($C145,Merchants!$A$1:$D$41,4,FALSE),"Merchant not found")</f>
        <v>South</v>
      </c>
      <c r="L145" s="3">
        <f>IFERROR(HLOOKUP(F145,Fee_Lookup!$B$1:$E$2,2,FALSE),"Fee not found")</f>
        <v>1.8</v>
      </c>
      <c r="M145" s="3" t="str">
        <f>IF(AND(SUMIF(Transactions!$C$2:$C$548,C145,Transactions!$E$2:$E$548)&gt;5000,K145&lt;&gt;"East"),"High-Value Merchant Day","Normal")</f>
        <v>High-Value Merchant Day</v>
      </c>
    </row>
    <row r="146">
      <c r="A146" s="2" t="s">
        <v>229</v>
      </c>
      <c r="B146" s="2">
        <v>350.0</v>
      </c>
      <c r="C146" s="2">
        <v>16.0</v>
      </c>
      <c r="D146" s="5">
        <v>46050.527083333334</v>
      </c>
      <c r="E146" s="2">
        <v>49.0</v>
      </c>
      <c r="F146" s="2" t="s">
        <v>6</v>
      </c>
      <c r="G146" s="2" t="s">
        <v>36</v>
      </c>
      <c r="H146" s="2">
        <v>63.0</v>
      </c>
      <c r="I146" s="3" t="str">
        <f>IFERROR(VLOOKUP($C146,Merchants!$A$1:$D$41,2,FALSE),"Merchant not found")</f>
        <v>Merchant_016</v>
      </c>
      <c r="J146" s="3" t="str">
        <f>IFERROR(VLOOKUP($C146,Merchants!$A$1:$D$41,3,FALSE),"Merchant not found")</f>
        <v>entertainment</v>
      </c>
      <c r="K146" s="3" t="str">
        <f>IFERROR(VLOOKUP($C146,Merchants!$A$1:$D$41,4,FALSE),"Merchant not found")</f>
        <v>North</v>
      </c>
      <c r="L146" s="3">
        <f>IFERROR(HLOOKUP(F146,Fee_Lookup!$B$1:$E$2,2,FALSE),"Fee not found")</f>
        <v>0.5</v>
      </c>
      <c r="M146" s="3" t="str">
        <f>IF(AND(SUMIF(Transactions!$C$2:$C$548,C146,Transactions!$E$2:$E$548)&gt;5000,K146&lt;&gt;"East"),"High-Value Merchant Day","Normal")</f>
        <v>High-Value Merchant Day</v>
      </c>
    </row>
    <row r="147">
      <c r="A147" s="2" t="s">
        <v>230</v>
      </c>
      <c r="B147" s="2">
        <v>119.0</v>
      </c>
      <c r="C147" s="2">
        <v>30.0</v>
      </c>
      <c r="D147" s="5">
        <v>46052.75625</v>
      </c>
      <c r="E147" s="2">
        <v>49.0</v>
      </c>
      <c r="F147" s="2" t="s">
        <v>96</v>
      </c>
      <c r="G147" s="2" t="s">
        <v>36</v>
      </c>
      <c r="H147" s="2">
        <v>81.0</v>
      </c>
      <c r="I147" s="3" t="str">
        <f>IFERROR(VLOOKUP($C147,Merchants!$A$1:$D$41,2,FALSE),"Merchant not found")</f>
        <v>Merchant_030</v>
      </c>
      <c r="J147" s="3" t="str">
        <f>IFERROR(VLOOKUP($C147,Merchants!$A$1:$D$41,3,FALSE),"Merchant not found")</f>
        <v>travel</v>
      </c>
      <c r="K147" s="3" t="str">
        <f>IFERROR(VLOOKUP($C147,Merchants!$A$1:$D$41,4,FALSE),"Merchant not found")</f>
        <v>West</v>
      </c>
      <c r="L147" s="3">
        <f>IFERROR(HLOOKUP(F147,Fee_Lookup!$B$1:$E$2,2,FALSE),"Fee not found")</f>
        <v>1.8</v>
      </c>
      <c r="M147" s="3" t="str">
        <f>IF(AND(SUMIF(Transactions!$C$2:$C$548,C147,Transactions!$E$2:$E$548)&gt;5000,K147&lt;&gt;"East"),"High-Value Merchant Day","Normal")</f>
        <v>High-Value Merchant Day</v>
      </c>
    </row>
    <row r="148">
      <c r="A148" s="2" t="s">
        <v>231</v>
      </c>
      <c r="B148" s="2">
        <v>342.0</v>
      </c>
      <c r="C148" s="2">
        <v>1.0</v>
      </c>
      <c r="D148" s="5">
        <v>46031.59444444445</v>
      </c>
      <c r="E148" s="2">
        <v>49.0</v>
      </c>
      <c r="F148" s="2" t="s">
        <v>6</v>
      </c>
      <c r="G148" s="2" t="s">
        <v>36</v>
      </c>
      <c r="H148" s="2">
        <v>59.0</v>
      </c>
      <c r="I148" s="3" t="str">
        <f>IFERROR(VLOOKUP($C148,Merchants!$A$1:$D$41,2,FALSE),"Merchant not found")</f>
        <v>Merchant_001</v>
      </c>
      <c r="J148" s="3" t="str">
        <f>IFERROR(VLOOKUP($C148,Merchants!$A$1:$D$41,3,FALSE),"Merchant not found")</f>
        <v>entertainment</v>
      </c>
      <c r="K148" s="3" t="str">
        <f>IFERROR(VLOOKUP($C148,Merchants!$A$1:$D$41,4,FALSE),"Merchant not found")</f>
        <v>West</v>
      </c>
      <c r="L148" s="3">
        <f>IFERROR(HLOOKUP(F148,Fee_Lookup!$B$1:$E$2,2,FALSE),"Fee not found")</f>
        <v>0.5</v>
      </c>
      <c r="M148" s="3" t="str">
        <f>IF(AND(SUMIF(Transactions!$C$2:$C$548,C148,Transactions!$E$2:$E$548)&gt;5000,K148&lt;&gt;"East"),"High-Value Merchant Day","Normal")</f>
        <v>High-Value Merchant Day</v>
      </c>
    </row>
    <row r="149">
      <c r="A149" s="2" t="s">
        <v>232</v>
      </c>
      <c r="B149" s="2">
        <v>280.0</v>
      </c>
      <c r="C149" s="2">
        <v>11.0</v>
      </c>
      <c r="D149" s="5">
        <v>46051.404861111114</v>
      </c>
      <c r="E149" s="2">
        <v>149.0</v>
      </c>
      <c r="F149" s="2" t="s">
        <v>6</v>
      </c>
      <c r="G149" s="2" t="s">
        <v>62</v>
      </c>
      <c r="H149" s="2">
        <v>9.0</v>
      </c>
      <c r="I149" s="3" t="str">
        <f>IFERROR(VLOOKUP($C149,Merchants!$A$1:$D$41,2,FALSE),"Merchant not found")</f>
        <v>Merchant_011</v>
      </c>
      <c r="J149" s="3" t="str">
        <f>IFERROR(VLOOKUP($C149,Merchants!$A$1:$D$41,3,FALSE),"Merchant not found")</f>
        <v>recharge</v>
      </c>
      <c r="K149" s="3" t="str">
        <f>IFERROR(VLOOKUP($C149,Merchants!$A$1:$D$41,4,FALSE),"Merchant not found")</f>
        <v>West</v>
      </c>
      <c r="L149" s="3">
        <f>IFERROR(HLOOKUP(F149,Fee_Lookup!$B$1:$E$2,2,FALSE),"Fee not found")</f>
        <v>0.5</v>
      </c>
      <c r="M149" s="3" t="str">
        <f>IF(AND(SUMIF(Transactions!$C$2:$C$548,C149,Transactions!$E$2:$E$548)&gt;5000,K149&lt;&gt;"East"),"High-Value Merchant Day","Normal")</f>
        <v>High-Value Merchant Day</v>
      </c>
    </row>
    <row r="150">
      <c r="A150" s="2" t="s">
        <v>233</v>
      </c>
      <c r="B150" s="2">
        <v>154.0</v>
      </c>
      <c r="C150" s="2">
        <v>28.0</v>
      </c>
      <c r="D150" s="5">
        <v>46037.48402777778</v>
      </c>
      <c r="E150" s="2">
        <v>2999.0</v>
      </c>
      <c r="F150" s="2" t="s">
        <v>79</v>
      </c>
      <c r="G150" s="2" t="s">
        <v>36</v>
      </c>
      <c r="H150" s="2">
        <v>88.0</v>
      </c>
      <c r="I150" s="3" t="str">
        <f>IFERROR(VLOOKUP($C150,Merchants!$A$1:$D$41,2,FALSE),"Merchant not found")</f>
        <v>Merchant_028</v>
      </c>
      <c r="J150" s="3" t="str">
        <f>IFERROR(VLOOKUP($C150,Merchants!$A$1:$D$41,3,FALSE),"Merchant not found")</f>
        <v>food_delivery</v>
      </c>
      <c r="K150" s="3" t="str">
        <f>IFERROR(VLOOKUP($C150,Merchants!$A$1:$D$41,4,FALSE),"Merchant not found")</f>
        <v>East</v>
      </c>
      <c r="L150" s="3">
        <f>IFERROR(HLOOKUP(F150,Fee_Lookup!$B$1:$E$2,2,FALSE),"Fee not found")</f>
        <v>1.5</v>
      </c>
      <c r="M150" s="3" t="str">
        <f>IF(AND(SUMIF(Transactions!$C$2:$C$548,C150,Transactions!$E$2:$E$548)&gt;5000,K150&lt;&gt;"East"),"High-Value Merchant Day","Normal")</f>
        <v>Normal</v>
      </c>
    </row>
    <row r="151">
      <c r="A151" s="2" t="s">
        <v>234</v>
      </c>
      <c r="B151" s="2">
        <v>155.0</v>
      </c>
      <c r="C151" s="2">
        <v>13.0</v>
      </c>
      <c r="D151" s="5">
        <v>46031.620833333334</v>
      </c>
      <c r="E151" s="2">
        <v>149.0</v>
      </c>
      <c r="F151" s="2" t="s">
        <v>6</v>
      </c>
      <c r="G151" s="2" t="s">
        <v>36</v>
      </c>
      <c r="H151" s="2">
        <v>49.0</v>
      </c>
      <c r="I151" s="3" t="str">
        <f>IFERROR(VLOOKUP($C151,Merchants!$A$1:$D$41,2,FALSE),"Merchant not found")</f>
        <v>Merchant_013</v>
      </c>
      <c r="J151" s="3" t="str">
        <f>IFERROR(VLOOKUP($C151,Merchants!$A$1:$D$41,3,FALSE),"Merchant not found")</f>
        <v>ecommerce</v>
      </c>
      <c r="K151" s="3" t="str">
        <f>IFERROR(VLOOKUP($C151,Merchants!$A$1:$D$41,4,FALSE),"Merchant not found")</f>
        <v>North</v>
      </c>
      <c r="L151" s="3">
        <f>IFERROR(HLOOKUP(F151,Fee_Lookup!$B$1:$E$2,2,FALSE),"Fee not found")</f>
        <v>0.5</v>
      </c>
      <c r="M151" s="3" t="str">
        <f>IF(AND(SUMIF(Transactions!$C$2:$C$548,C151,Transactions!$E$2:$E$548)&gt;5000,K151&lt;&gt;"East"),"High-Value Merchant Day","Normal")</f>
        <v>High-Value Merchant Day</v>
      </c>
    </row>
    <row r="152">
      <c r="A152" s="2" t="s">
        <v>235</v>
      </c>
      <c r="B152" s="2">
        <v>122.0</v>
      </c>
      <c r="C152" s="2">
        <v>25.0</v>
      </c>
      <c r="D152" s="5">
        <v>46050.629166666666</v>
      </c>
      <c r="E152" s="2">
        <v>299.0</v>
      </c>
      <c r="F152" s="2" t="s">
        <v>6</v>
      </c>
      <c r="G152" s="2" t="s">
        <v>36</v>
      </c>
      <c r="H152" s="2">
        <v>73.0</v>
      </c>
      <c r="I152" s="3" t="str">
        <f>IFERROR(VLOOKUP($C152,Merchants!$A$1:$D$41,2,FALSE),"Merchant not found")</f>
        <v>Merchant_025</v>
      </c>
      <c r="J152" s="3" t="str">
        <f>IFERROR(VLOOKUP($C152,Merchants!$A$1:$D$41,3,FALSE),"Merchant not found")</f>
        <v>grocery</v>
      </c>
      <c r="K152" s="3" t="str">
        <f>IFERROR(VLOOKUP($C152,Merchants!$A$1:$D$41,4,FALSE),"Merchant not found")</f>
        <v>East</v>
      </c>
      <c r="L152" s="3">
        <f>IFERROR(HLOOKUP(F152,Fee_Lookup!$B$1:$E$2,2,FALSE),"Fee not found")</f>
        <v>0.5</v>
      </c>
      <c r="M152" s="3" t="str">
        <f>IF(AND(SUMIF(Transactions!$C$2:$C$548,C152,Transactions!$E$2:$E$548)&gt;5000,K152&lt;&gt;"East"),"High-Value Merchant Day","Normal")</f>
        <v>Normal</v>
      </c>
    </row>
    <row r="153">
      <c r="A153" s="2" t="s">
        <v>236</v>
      </c>
      <c r="B153" s="2">
        <v>152.0</v>
      </c>
      <c r="C153" s="2">
        <v>2.0</v>
      </c>
      <c r="D153" s="5">
        <v>46034.7625</v>
      </c>
      <c r="E153" s="2">
        <v>49.0</v>
      </c>
      <c r="F153" s="2" t="s">
        <v>6</v>
      </c>
      <c r="G153" s="2" t="s">
        <v>36</v>
      </c>
      <c r="H153" s="2">
        <v>84.0</v>
      </c>
      <c r="I153" s="3" t="str">
        <f>IFERROR(VLOOKUP($C153,Merchants!$A$1:$D$41,2,FALSE),"Merchant not found")</f>
        <v>Merchant_002</v>
      </c>
      <c r="J153" s="3" t="str">
        <f>IFERROR(VLOOKUP($C153,Merchants!$A$1:$D$41,3,FALSE),"Merchant not found")</f>
        <v>recharge</v>
      </c>
      <c r="K153" s="3" t="str">
        <f>IFERROR(VLOOKUP($C153,Merchants!$A$1:$D$41,4,FALSE),"Merchant not found")</f>
        <v>South</v>
      </c>
      <c r="L153" s="3">
        <f>IFERROR(HLOOKUP(F153,Fee_Lookup!$B$1:$E$2,2,FALSE),"Fee not found")</f>
        <v>0.5</v>
      </c>
      <c r="M153" s="3" t="str">
        <f>IF(AND(SUMIF(Transactions!$C$2:$C$548,C153,Transactions!$E$2:$E$548)&gt;5000,K153&lt;&gt;"East"),"High-Value Merchant Day","Normal")</f>
        <v>Normal</v>
      </c>
    </row>
    <row r="154">
      <c r="A154" s="2" t="s">
        <v>237</v>
      </c>
      <c r="B154" s="2">
        <v>290.0</v>
      </c>
      <c r="C154" s="2">
        <v>4.0</v>
      </c>
      <c r="D154" s="5">
        <v>46035.333333333336</v>
      </c>
      <c r="E154" s="2">
        <v>149.0</v>
      </c>
      <c r="F154" s="2" t="s">
        <v>6</v>
      </c>
      <c r="G154" s="2" t="s">
        <v>36</v>
      </c>
      <c r="H154" s="2">
        <v>77.0</v>
      </c>
      <c r="I154" s="3" t="str">
        <f>IFERROR(VLOOKUP($C154,Merchants!$A$1:$D$41,2,FALSE),"Merchant not found")</f>
        <v>Merchant_004</v>
      </c>
      <c r="J154" s="3" t="str">
        <f>IFERROR(VLOOKUP($C154,Merchants!$A$1:$D$41,3,FALSE),"Merchant not found")</f>
        <v>grocery</v>
      </c>
      <c r="K154" s="3" t="str">
        <f>IFERROR(VLOOKUP($C154,Merchants!$A$1:$D$41,4,FALSE),"Merchant not found")</f>
        <v>West</v>
      </c>
      <c r="L154" s="3">
        <f>IFERROR(HLOOKUP(F154,Fee_Lookup!$B$1:$E$2,2,FALSE),"Fee not found")</f>
        <v>0.5</v>
      </c>
      <c r="M154" s="3" t="str">
        <f>IF(AND(SUMIF(Transactions!$C$2:$C$548,C154,Transactions!$E$2:$E$548)&gt;5000,K154&lt;&gt;"East"),"High-Value Merchant Day","Normal")</f>
        <v>High-Value Merchant Day</v>
      </c>
    </row>
    <row r="155">
      <c r="A155" s="2" t="s">
        <v>238</v>
      </c>
      <c r="B155" s="2">
        <v>147.0</v>
      </c>
      <c r="C155" s="2">
        <v>15.0</v>
      </c>
      <c r="D155" s="5">
        <v>46046.66180555556</v>
      </c>
      <c r="E155" s="2">
        <v>49.0</v>
      </c>
      <c r="F155" s="2" t="s">
        <v>35</v>
      </c>
      <c r="G155" s="2" t="s">
        <v>36</v>
      </c>
      <c r="H155" s="2">
        <v>77.0</v>
      </c>
      <c r="I155" s="3" t="str">
        <f>IFERROR(VLOOKUP($C155,Merchants!$A$1:$D$41,2,FALSE),"Merchant not found")</f>
        <v>Merchant_015</v>
      </c>
      <c r="J155" s="3" t="str">
        <f>IFERROR(VLOOKUP($C155,Merchants!$A$1:$D$41,3,FALSE),"Merchant not found")</f>
        <v>travel</v>
      </c>
      <c r="K155" s="3" t="str">
        <f>IFERROR(VLOOKUP($C155,Merchants!$A$1:$D$41,4,FALSE),"Merchant not found")</f>
        <v>West</v>
      </c>
      <c r="L155" s="3">
        <f>IFERROR(HLOOKUP(F155,Fee_Lookup!$B$1:$E$2,2,FALSE),"Fee not found")</f>
        <v>1</v>
      </c>
      <c r="M155" s="3" t="str">
        <f>IF(AND(SUMIF(Transactions!$C$2:$C$548,C155,Transactions!$E$2:$E$548)&gt;5000,K155&lt;&gt;"East"),"High-Value Merchant Day","Normal")</f>
        <v>High-Value Merchant Day</v>
      </c>
    </row>
    <row r="156">
      <c r="A156" s="2" t="s">
        <v>239</v>
      </c>
      <c r="B156" s="2">
        <v>326.0</v>
      </c>
      <c r="C156" s="2">
        <v>13.0</v>
      </c>
      <c r="D156" s="5">
        <v>46048.46805555555</v>
      </c>
      <c r="E156" s="2">
        <v>299.0</v>
      </c>
      <c r="F156" s="2" t="s">
        <v>79</v>
      </c>
      <c r="G156" s="2" t="s">
        <v>36</v>
      </c>
      <c r="H156" s="2">
        <v>79.0</v>
      </c>
      <c r="I156" s="3" t="str">
        <f>IFERROR(VLOOKUP($C156,Merchants!$A$1:$D$41,2,FALSE),"Merchant not found")</f>
        <v>Merchant_013</v>
      </c>
      <c r="J156" s="3" t="str">
        <f>IFERROR(VLOOKUP($C156,Merchants!$A$1:$D$41,3,FALSE),"Merchant not found")</f>
        <v>ecommerce</v>
      </c>
      <c r="K156" s="3" t="str">
        <f>IFERROR(VLOOKUP($C156,Merchants!$A$1:$D$41,4,FALSE),"Merchant not found")</f>
        <v>North</v>
      </c>
      <c r="L156" s="3">
        <f>IFERROR(HLOOKUP(F156,Fee_Lookup!$B$1:$E$2,2,FALSE),"Fee not found")</f>
        <v>1.5</v>
      </c>
      <c r="M156" s="3" t="str">
        <f>IF(AND(SUMIF(Transactions!$C$2:$C$548,C156,Transactions!$E$2:$E$548)&gt;5000,K156&lt;&gt;"East"),"High-Value Merchant Day","Normal")</f>
        <v>High-Value Merchant Day</v>
      </c>
    </row>
    <row r="157">
      <c r="A157" s="2" t="s">
        <v>240</v>
      </c>
      <c r="B157" s="2">
        <v>338.0</v>
      </c>
      <c r="C157" s="2">
        <v>9.0</v>
      </c>
      <c r="D157" s="5">
        <v>46031.90833333333</v>
      </c>
      <c r="E157" s="2">
        <v>99.0</v>
      </c>
      <c r="F157" s="2" t="s">
        <v>96</v>
      </c>
      <c r="G157" s="2" t="s">
        <v>36</v>
      </c>
      <c r="H157" s="2">
        <v>80.0</v>
      </c>
      <c r="I157" s="3" t="str">
        <f>IFERROR(VLOOKUP($C157,Merchants!$A$1:$D$41,2,FALSE),"Merchant not found")</f>
        <v>Merchant_009</v>
      </c>
      <c r="J157" s="3" t="str">
        <f>IFERROR(VLOOKUP($C157,Merchants!$A$1:$D$41,3,FALSE),"Merchant not found")</f>
        <v>entertainment</v>
      </c>
      <c r="K157" s="3" t="str">
        <f>IFERROR(VLOOKUP($C157,Merchants!$A$1:$D$41,4,FALSE),"Merchant not found")</f>
        <v>West</v>
      </c>
      <c r="L157" s="3">
        <f>IFERROR(HLOOKUP(F157,Fee_Lookup!$B$1:$E$2,2,FALSE),"Fee not found")</f>
        <v>1.8</v>
      </c>
      <c r="M157" s="3" t="str">
        <f>IF(AND(SUMIF(Transactions!$C$2:$C$548,C157,Transactions!$E$2:$E$548)&gt;5000,K157&lt;&gt;"East"),"High-Value Merchant Day","Normal")</f>
        <v>Normal</v>
      </c>
    </row>
    <row r="158">
      <c r="A158" s="2" t="s">
        <v>241</v>
      </c>
      <c r="B158" s="2">
        <v>21.0</v>
      </c>
      <c r="C158" s="2">
        <v>20.0</v>
      </c>
      <c r="D158" s="5">
        <v>46026.861805555556</v>
      </c>
      <c r="E158" s="2">
        <v>2999.0</v>
      </c>
      <c r="F158" s="2" t="s">
        <v>6</v>
      </c>
      <c r="G158" s="2" t="s">
        <v>36</v>
      </c>
      <c r="H158" s="2">
        <v>100.0</v>
      </c>
      <c r="I158" s="3" t="str">
        <f>IFERROR(VLOOKUP($C158,Merchants!$A$1:$D$41,2,FALSE),"Merchant not found")</f>
        <v>Merchant_020</v>
      </c>
      <c r="J158" s="3" t="str">
        <f>IFERROR(VLOOKUP($C158,Merchants!$A$1:$D$41,3,FALSE),"Merchant not found")</f>
        <v>entertainment</v>
      </c>
      <c r="K158" s="3" t="str">
        <f>IFERROR(VLOOKUP($C158,Merchants!$A$1:$D$41,4,FALSE),"Merchant not found")</f>
        <v>West</v>
      </c>
      <c r="L158" s="3">
        <f>IFERROR(HLOOKUP(F158,Fee_Lookup!$B$1:$E$2,2,FALSE),"Fee not found")</f>
        <v>0.5</v>
      </c>
      <c r="M158" s="3" t="str">
        <f>IF(AND(SUMIF(Transactions!$C$2:$C$548,C158,Transactions!$E$2:$E$548)&gt;5000,K158&lt;&gt;"East"),"High-Value Merchant Day","Normal")</f>
        <v>Normal</v>
      </c>
    </row>
    <row r="159">
      <c r="A159" s="2" t="s">
        <v>242</v>
      </c>
      <c r="B159" s="2">
        <v>187.0</v>
      </c>
      <c r="C159" s="2">
        <v>9.0</v>
      </c>
      <c r="D159" s="5">
        <v>46037.06736111111</v>
      </c>
      <c r="E159" s="2">
        <v>49.0</v>
      </c>
      <c r="F159" s="2" t="s">
        <v>96</v>
      </c>
      <c r="G159" s="2" t="s">
        <v>64</v>
      </c>
      <c r="H159" s="2">
        <v>11.0</v>
      </c>
      <c r="I159" s="3" t="str">
        <f>IFERROR(VLOOKUP($C159,Merchants!$A$1:$D$41,2,FALSE),"Merchant not found")</f>
        <v>Merchant_009</v>
      </c>
      <c r="J159" s="3" t="str">
        <f>IFERROR(VLOOKUP($C159,Merchants!$A$1:$D$41,3,FALSE),"Merchant not found")</f>
        <v>entertainment</v>
      </c>
      <c r="K159" s="3" t="str">
        <f>IFERROR(VLOOKUP($C159,Merchants!$A$1:$D$41,4,FALSE),"Merchant not found")</f>
        <v>West</v>
      </c>
      <c r="L159" s="3">
        <f>IFERROR(HLOOKUP(F159,Fee_Lookup!$B$1:$E$2,2,FALSE),"Fee not found")</f>
        <v>1.8</v>
      </c>
      <c r="M159" s="3" t="str">
        <f>IF(AND(SUMIF(Transactions!$C$2:$C$548,C159,Transactions!$E$2:$E$548)&gt;5000,K159&lt;&gt;"East"),"High-Value Merchant Day","Normal")</f>
        <v>Normal</v>
      </c>
    </row>
    <row r="160">
      <c r="A160" s="2" t="s">
        <v>243</v>
      </c>
      <c r="B160" s="2">
        <v>213.0</v>
      </c>
      <c r="C160" s="2">
        <v>12.0</v>
      </c>
      <c r="D160" s="5">
        <v>46052.38888888889</v>
      </c>
      <c r="E160" s="2">
        <v>4999.0</v>
      </c>
      <c r="F160" s="2" t="s">
        <v>6</v>
      </c>
      <c r="G160" s="2" t="s">
        <v>36</v>
      </c>
      <c r="H160" s="2">
        <v>25.0</v>
      </c>
      <c r="I160" s="3" t="str">
        <f>IFERROR(VLOOKUP($C160,Merchants!$A$1:$D$41,2,FALSE),"Merchant not found")</f>
        <v>Merchant_012</v>
      </c>
      <c r="J160" s="3" t="str">
        <f>IFERROR(VLOOKUP($C160,Merchants!$A$1:$D$41,3,FALSE),"Merchant not found")</f>
        <v>food_delivery</v>
      </c>
      <c r="K160" s="3" t="str">
        <f>IFERROR(VLOOKUP($C160,Merchants!$A$1:$D$41,4,FALSE),"Merchant not found")</f>
        <v>South</v>
      </c>
      <c r="L160" s="3">
        <f>IFERROR(HLOOKUP(F160,Fee_Lookup!$B$1:$E$2,2,FALSE),"Fee not found")</f>
        <v>0.5</v>
      </c>
      <c r="M160" s="3" t="str">
        <f>IF(AND(SUMIF(Transactions!$C$2:$C$548,C160,Transactions!$E$2:$E$548)&gt;5000,K160&lt;&gt;"East"),"High-Value Merchant Day","Normal")</f>
        <v>High-Value Merchant Day</v>
      </c>
    </row>
    <row r="161">
      <c r="A161" s="2" t="s">
        <v>244</v>
      </c>
      <c r="B161" s="2">
        <v>188.0</v>
      </c>
      <c r="C161" s="2">
        <v>34.0</v>
      </c>
      <c r="D161" s="5">
        <v>46027.74722222222</v>
      </c>
      <c r="E161" s="2">
        <v>2999.0</v>
      </c>
      <c r="F161" s="2" t="s">
        <v>6</v>
      </c>
      <c r="G161" s="2" t="s">
        <v>36</v>
      </c>
      <c r="H161" s="2">
        <v>64.0</v>
      </c>
      <c r="I161" s="3" t="str">
        <f>IFERROR(VLOOKUP($C161,Merchants!$A$1:$D$41,2,FALSE),"Merchant not found")</f>
        <v>Merchant_034</v>
      </c>
      <c r="J161" s="3" t="str">
        <f>IFERROR(VLOOKUP($C161,Merchants!$A$1:$D$41,3,FALSE),"Merchant not found")</f>
        <v>recharge</v>
      </c>
      <c r="K161" s="3" t="str">
        <f>IFERROR(VLOOKUP($C161,Merchants!$A$1:$D$41,4,FALSE),"Merchant not found")</f>
        <v>West</v>
      </c>
      <c r="L161" s="3">
        <f>IFERROR(HLOOKUP(F161,Fee_Lookup!$B$1:$E$2,2,FALSE),"Fee not found")</f>
        <v>0.5</v>
      </c>
      <c r="M161" s="3" t="str">
        <f>IF(AND(SUMIF(Transactions!$C$2:$C$548,C161,Transactions!$E$2:$E$548)&gt;5000,K161&lt;&gt;"East"),"High-Value Merchant Day","Normal")</f>
        <v>High-Value Merchant Day</v>
      </c>
    </row>
    <row r="162">
      <c r="A162" s="2" t="s">
        <v>245</v>
      </c>
      <c r="B162" s="2">
        <v>85.0</v>
      </c>
      <c r="C162" s="2">
        <v>17.0</v>
      </c>
      <c r="D162" s="5">
        <v>46052.37013888889</v>
      </c>
      <c r="E162" s="2">
        <v>499.0</v>
      </c>
      <c r="F162" s="2" t="s">
        <v>6</v>
      </c>
      <c r="G162" s="2" t="s">
        <v>36</v>
      </c>
      <c r="H162" s="2">
        <v>61.0</v>
      </c>
      <c r="I162" s="3" t="str">
        <f>IFERROR(VLOOKUP($C162,Merchants!$A$1:$D$41,2,FALSE),"Merchant not found")</f>
        <v>Merchant_017</v>
      </c>
      <c r="J162" s="3" t="str">
        <f>IFERROR(VLOOKUP($C162,Merchants!$A$1:$D$41,3,FALSE),"Merchant not found")</f>
        <v>bill_payment</v>
      </c>
      <c r="K162" s="3" t="str">
        <f>IFERROR(VLOOKUP($C162,Merchants!$A$1:$D$41,4,FALSE),"Merchant not found")</f>
        <v>East</v>
      </c>
      <c r="L162" s="3">
        <f>IFERROR(HLOOKUP(F162,Fee_Lookup!$B$1:$E$2,2,FALSE),"Fee not found")</f>
        <v>0.5</v>
      </c>
      <c r="M162" s="3" t="str">
        <f>IF(AND(SUMIF(Transactions!$C$2:$C$548,C162,Transactions!$E$2:$E$548)&gt;5000,K162&lt;&gt;"East"),"High-Value Merchant Day","Normal")</f>
        <v>Normal</v>
      </c>
    </row>
    <row r="163">
      <c r="A163" s="2" t="s">
        <v>246</v>
      </c>
      <c r="B163" s="2">
        <v>174.0</v>
      </c>
      <c r="C163" s="2">
        <v>8.0</v>
      </c>
      <c r="D163" s="5">
        <v>46048.407638888886</v>
      </c>
      <c r="E163" s="2">
        <v>299.0</v>
      </c>
      <c r="F163" s="2" t="s">
        <v>79</v>
      </c>
      <c r="G163" s="2" t="s">
        <v>36</v>
      </c>
      <c r="H163" s="2">
        <v>59.0</v>
      </c>
      <c r="I163" s="3" t="str">
        <f>IFERROR(VLOOKUP($C163,Merchants!$A$1:$D$41,2,FALSE),"Merchant not found")</f>
        <v>Merchant_008</v>
      </c>
      <c r="J163" s="3" t="str">
        <f>IFERROR(VLOOKUP($C163,Merchants!$A$1:$D$41,3,FALSE),"Merchant not found")</f>
        <v>travel</v>
      </c>
      <c r="K163" s="3" t="str">
        <f>IFERROR(VLOOKUP($C163,Merchants!$A$1:$D$41,4,FALSE),"Merchant not found")</f>
        <v>North</v>
      </c>
      <c r="L163" s="3">
        <f>IFERROR(HLOOKUP(F163,Fee_Lookup!$B$1:$E$2,2,FALSE),"Fee not found")</f>
        <v>1.5</v>
      </c>
      <c r="M163" s="3" t="str">
        <f>IF(AND(SUMIF(Transactions!$C$2:$C$548,C163,Transactions!$E$2:$E$548)&gt;5000,K163&lt;&gt;"East"),"High-Value Merchant Day","Normal")</f>
        <v>High-Value Merchant Day</v>
      </c>
    </row>
    <row r="164">
      <c r="A164" s="2" t="s">
        <v>247</v>
      </c>
      <c r="B164" s="2">
        <v>116.0</v>
      </c>
      <c r="C164" s="2">
        <v>26.0</v>
      </c>
      <c r="D164" s="5">
        <v>46025.2</v>
      </c>
      <c r="E164" s="2">
        <v>99.0</v>
      </c>
      <c r="F164" s="2" t="s">
        <v>79</v>
      </c>
      <c r="G164" s="2" t="s">
        <v>36</v>
      </c>
      <c r="H164" s="2">
        <v>71.0</v>
      </c>
      <c r="I164" s="3" t="str">
        <f>IFERROR(VLOOKUP($C164,Merchants!$A$1:$D$41,2,FALSE),"Merchant not found")</f>
        <v>Merchant_026</v>
      </c>
      <c r="J164" s="3" t="str">
        <f>IFERROR(VLOOKUP($C164,Merchants!$A$1:$D$41,3,FALSE),"Merchant not found")</f>
        <v>entertainment</v>
      </c>
      <c r="K164" s="3" t="str">
        <f>IFERROR(VLOOKUP($C164,Merchants!$A$1:$D$41,4,FALSE),"Merchant not found")</f>
        <v>West</v>
      </c>
      <c r="L164" s="3">
        <f>IFERROR(HLOOKUP(F164,Fee_Lookup!$B$1:$E$2,2,FALSE),"Fee not found")</f>
        <v>1.5</v>
      </c>
      <c r="M164" s="3" t="str">
        <f>IF(AND(SUMIF(Transactions!$C$2:$C$548,C164,Transactions!$E$2:$E$548)&gt;5000,K164&lt;&gt;"East"),"High-Value Merchant Day","Normal")</f>
        <v>High-Value Merchant Day</v>
      </c>
    </row>
    <row r="165">
      <c r="A165" s="2" t="s">
        <v>248</v>
      </c>
      <c r="B165" s="2">
        <v>203.0</v>
      </c>
      <c r="C165" s="2">
        <v>1.0</v>
      </c>
      <c r="D165" s="5">
        <v>46034.118055555555</v>
      </c>
      <c r="E165" s="2">
        <v>149.0</v>
      </c>
      <c r="F165" s="2" t="s">
        <v>35</v>
      </c>
      <c r="G165" s="2" t="s">
        <v>36</v>
      </c>
      <c r="H165" s="2">
        <v>33.0</v>
      </c>
      <c r="I165" s="3" t="str">
        <f>IFERROR(VLOOKUP($C165,Merchants!$A$1:$D$41,2,FALSE),"Merchant not found")</f>
        <v>Merchant_001</v>
      </c>
      <c r="J165" s="3" t="str">
        <f>IFERROR(VLOOKUP($C165,Merchants!$A$1:$D$41,3,FALSE),"Merchant not found")</f>
        <v>entertainment</v>
      </c>
      <c r="K165" s="3" t="str">
        <f>IFERROR(VLOOKUP($C165,Merchants!$A$1:$D$41,4,FALSE),"Merchant not found")</f>
        <v>West</v>
      </c>
      <c r="L165" s="3">
        <f>IFERROR(HLOOKUP(F165,Fee_Lookup!$B$1:$E$2,2,FALSE),"Fee not found")</f>
        <v>1</v>
      </c>
      <c r="M165" s="3" t="str">
        <f>IF(AND(SUMIF(Transactions!$C$2:$C$548,C165,Transactions!$E$2:$E$548)&gt;5000,K165&lt;&gt;"East"),"High-Value Merchant Day","Normal")</f>
        <v>High-Value Merchant Day</v>
      </c>
    </row>
    <row r="166">
      <c r="A166" s="2" t="s">
        <v>249</v>
      </c>
      <c r="B166" s="2">
        <v>189.0</v>
      </c>
      <c r="C166" s="2">
        <v>17.0</v>
      </c>
      <c r="D166" s="5">
        <v>46040.14513888889</v>
      </c>
      <c r="E166" s="2">
        <v>99.0</v>
      </c>
      <c r="F166" s="2" t="s">
        <v>6</v>
      </c>
      <c r="G166" s="2" t="s">
        <v>36</v>
      </c>
      <c r="H166" s="2">
        <v>74.0</v>
      </c>
      <c r="I166" s="3" t="str">
        <f>IFERROR(VLOOKUP($C166,Merchants!$A$1:$D$41,2,FALSE),"Merchant not found")</f>
        <v>Merchant_017</v>
      </c>
      <c r="J166" s="3" t="str">
        <f>IFERROR(VLOOKUP($C166,Merchants!$A$1:$D$41,3,FALSE),"Merchant not found")</f>
        <v>bill_payment</v>
      </c>
      <c r="K166" s="3" t="str">
        <f>IFERROR(VLOOKUP($C166,Merchants!$A$1:$D$41,4,FALSE),"Merchant not found")</f>
        <v>East</v>
      </c>
      <c r="L166" s="3">
        <f>IFERROR(HLOOKUP(F166,Fee_Lookup!$B$1:$E$2,2,FALSE),"Fee not found")</f>
        <v>0.5</v>
      </c>
      <c r="M166" s="3" t="str">
        <f>IF(AND(SUMIF(Transactions!$C$2:$C$548,C166,Transactions!$E$2:$E$548)&gt;5000,K166&lt;&gt;"East"),"High-Value Merchant Day","Normal")</f>
        <v>Normal</v>
      </c>
    </row>
    <row r="167">
      <c r="A167" s="2" t="s">
        <v>250</v>
      </c>
      <c r="B167" s="2">
        <v>56.0</v>
      </c>
      <c r="C167" s="2">
        <v>15.0</v>
      </c>
      <c r="D167" s="5">
        <v>46035.84930555556</v>
      </c>
      <c r="E167" s="2">
        <v>299.0</v>
      </c>
      <c r="F167" s="2" t="s">
        <v>6</v>
      </c>
      <c r="G167" s="2" t="s">
        <v>36</v>
      </c>
      <c r="H167" s="2">
        <v>60.0</v>
      </c>
      <c r="I167" s="3" t="str">
        <f>IFERROR(VLOOKUP($C167,Merchants!$A$1:$D$41,2,FALSE),"Merchant not found")</f>
        <v>Merchant_015</v>
      </c>
      <c r="J167" s="3" t="str">
        <f>IFERROR(VLOOKUP($C167,Merchants!$A$1:$D$41,3,FALSE),"Merchant not found")</f>
        <v>travel</v>
      </c>
      <c r="K167" s="3" t="str">
        <f>IFERROR(VLOOKUP($C167,Merchants!$A$1:$D$41,4,FALSE),"Merchant not found")</f>
        <v>West</v>
      </c>
      <c r="L167" s="3">
        <f>IFERROR(HLOOKUP(F167,Fee_Lookup!$B$1:$E$2,2,FALSE),"Fee not found")</f>
        <v>0.5</v>
      </c>
      <c r="M167" s="3" t="str">
        <f>IF(AND(SUMIF(Transactions!$C$2:$C$548,C167,Transactions!$E$2:$E$548)&gt;5000,K167&lt;&gt;"East"),"High-Value Merchant Day","Normal")</f>
        <v>High-Value Merchant Day</v>
      </c>
    </row>
    <row r="168">
      <c r="A168" s="2" t="s">
        <v>251</v>
      </c>
      <c r="B168" s="2">
        <v>288.0</v>
      </c>
      <c r="C168" s="2">
        <v>21.0</v>
      </c>
      <c r="D168" s="5">
        <v>46023.830555555556</v>
      </c>
      <c r="E168" s="2">
        <v>4999.0</v>
      </c>
      <c r="F168" s="2" t="s">
        <v>35</v>
      </c>
      <c r="G168" s="2" t="s">
        <v>64</v>
      </c>
      <c r="H168" s="2">
        <v>78.0</v>
      </c>
      <c r="I168" s="3" t="str">
        <f>IFERROR(VLOOKUP($C168,Merchants!$A$1:$D$41,2,FALSE),"Merchant not found")</f>
        <v>Merchant_021</v>
      </c>
      <c r="J168" s="3" t="str">
        <f>IFERROR(VLOOKUP($C168,Merchants!$A$1:$D$41,3,FALSE),"Merchant not found")</f>
        <v>food_delivery</v>
      </c>
      <c r="K168" s="3" t="str">
        <f>IFERROR(VLOOKUP($C168,Merchants!$A$1:$D$41,4,FALSE),"Merchant not found")</f>
        <v>North</v>
      </c>
      <c r="L168" s="3">
        <f>IFERROR(HLOOKUP(F168,Fee_Lookup!$B$1:$E$2,2,FALSE),"Fee not found")</f>
        <v>1</v>
      </c>
      <c r="M168" s="3" t="str">
        <f>IF(AND(SUMIF(Transactions!$C$2:$C$548,C168,Transactions!$E$2:$E$548)&gt;5000,K168&lt;&gt;"East"),"High-Value Merchant Day","Normal")</f>
        <v>High-Value Merchant Day</v>
      </c>
    </row>
    <row r="169">
      <c r="A169" s="2" t="s">
        <v>252</v>
      </c>
      <c r="B169" s="2">
        <v>326.0</v>
      </c>
      <c r="C169" s="2">
        <v>30.0</v>
      </c>
      <c r="D169" s="5">
        <v>46030.83611111111</v>
      </c>
      <c r="E169" s="2">
        <v>99.0</v>
      </c>
      <c r="F169" s="2" t="s">
        <v>96</v>
      </c>
      <c r="G169" s="2" t="s">
        <v>36</v>
      </c>
      <c r="H169" s="2">
        <v>89.0</v>
      </c>
      <c r="I169" s="3" t="str">
        <f>IFERROR(VLOOKUP($C169,Merchants!$A$1:$D$41,2,FALSE),"Merchant not found")</f>
        <v>Merchant_030</v>
      </c>
      <c r="J169" s="3" t="str">
        <f>IFERROR(VLOOKUP($C169,Merchants!$A$1:$D$41,3,FALSE),"Merchant not found")</f>
        <v>travel</v>
      </c>
      <c r="K169" s="3" t="str">
        <f>IFERROR(VLOOKUP($C169,Merchants!$A$1:$D$41,4,FALSE),"Merchant not found")</f>
        <v>West</v>
      </c>
      <c r="L169" s="3">
        <f>IFERROR(HLOOKUP(F169,Fee_Lookup!$B$1:$E$2,2,FALSE),"Fee not found")</f>
        <v>1.8</v>
      </c>
      <c r="M169" s="3" t="str">
        <f>IF(AND(SUMIF(Transactions!$C$2:$C$548,C169,Transactions!$E$2:$E$548)&gt;5000,K169&lt;&gt;"East"),"High-Value Merchant Day","Normal")</f>
        <v>High-Value Merchant Day</v>
      </c>
    </row>
    <row r="170">
      <c r="A170" s="2" t="s">
        <v>253</v>
      </c>
      <c r="B170" s="2">
        <v>60.0</v>
      </c>
      <c r="C170" s="2">
        <v>9.0</v>
      </c>
      <c r="D170" s="5">
        <v>46032.85138888889</v>
      </c>
      <c r="E170" s="2">
        <v>49.0</v>
      </c>
      <c r="F170" s="2" t="s">
        <v>79</v>
      </c>
      <c r="G170" s="2" t="s">
        <v>36</v>
      </c>
      <c r="H170" s="2">
        <v>5.0</v>
      </c>
      <c r="I170" s="3" t="str">
        <f>IFERROR(VLOOKUP($C170,Merchants!$A$1:$D$41,2,FALSE),"Merchant not found")</f>
        <v>Merchant_009</v>
      </c>
      <c r="J170" s="3" t="str">
        <f>IFERROR(VLOOKUP($C170,Merchants!$A$1:$D$41,3,FALSE),"Merchant not found")</f>
        <v>entertainment</v>
      </c>
      <c r="K170" s="3" t="str">
        <f>IFERROR(VLOOKUP($C170,Merchants!$A$1:$D$41,4,FALSE),"Merchant not found")</f>
        <v>West</v>
      </c>
      <c r="L170" s="3">
        <f>IFERROR(HLOOKUP(F170,Fee_Lookup!$B$1:$E$2,2,FALSE),"Fee not found")</f>
        <v>1.5</v>
      </c>
      <c r="M170" s="3" t="str">
        <f>IF(AND(SUMIF(Transactions!$C$2:$C$548,C170,Transactions!$E$2:$E$548)&gt;5000,K170&lt;&gt;"East"),"High-Value Merchant Day","Normal")</f>
        <v>Normal</v>
      </c>
    </row>
    <row r="171">
      <c r="A171" s="2" t="s">
        <v>254</v>
      </c>
      <c r="B171" s="2">
        <v>60.0</v>
      </c>
      <c r="C171" s="2">
        <v>7.0</v>
      </c>
      <c r="D171" s="5">
        <v>46024.396527777775</v>
      </c>
      <c r="E171" s="2">
        <v>2999.0</v>
      </c>
      <c r="F171" s="2" t="s">
        <v>35</v>
      </c>
      <c r="G171" s="2" t="s">
        <v>36</v>
      </c>
      <c r="H171" s="2">
        <v>30.0</v>
      </c>
      <c r="I171" s="3" t="str">
        <f>IFERROR(VLOOKUP($C171,Merchants!$A$1:$D$41,2,FALSE),"Merchant not found")</f>
        <v>Merchant_007</v>
      </c>
      <c r="J171" s="3" t="str">
        <f>IFERROR(VLOOKUP($C171,Merchants!$A$1:$D$41,3,FALSE),"Merchant not found")</f>
        <v>bill_payment</v>
      </c>
      <c r="K171" s="3" t="str">
        <f>IFERROR(VLOOKUP($C171,Merchants!$A$1:$D$41,4,FALSE),"Merchant not found")</f>
        <v>South</v>
      </c>
      <c r="L171" s="3">
        <f>IFERROR(HLOOKUP(F171,Fee_Lookup!$B$1:$E$2,2,FALSE),"Fee not found")</f>
        <v>1</v>
      </c>
      <c r="M171" s="3" t="str">
        <f>IF(AND(SUMIF(Transactions!$C$2:$C$548,C171,Transactions!$E$2:$E$548)&gt;5000,K171&lt;&gt;"East"),"High-Value Merchant Day","Normal")</f>
        <v>High-Value Merchant Day</v>
      </c>
    </row>
    <row r="172">
      <c r="A172" s="2" t="s">
        <v>255</v>
      </c>
      <c r="B172" s="2">
        <v>199.0</v>
      </c>
      <c r="C172" s="2">
        <v>30.0</v>
      </c>
      <c r="D172" s="5">
        <v>46051.71388888889</v>
      </c>
      <c r="E172" s="2">
        <v>149.0</v>
      </c>
      <c r="F172" s="2" t="s">
        <v>79</v>
      </c>
      <c r="G172" s="2" t="s">
        <v>36</v>
      </c>
      <c r="H172" s="2">
        <v>47.0</v>
      </c>
      <c r="I172" s="3" t="str">
        <f>IFERROR(VLOOKUP($C172,Merchants!$A$1:$D$41,2,FALSE),"Merchant not found")</f>
        <v>Merchant_030</v>
      </c>
      <c r="J172" s="3" t="str">
        <f>IFERROR(VLOOKUP($C172,Merchants!$A$1:$D$41,3,FALSE),"Merchant not found")</f>
        <v>travel</v>
      </c>
      <c r="K172" s="3" t="str">
        <f>IFERROR(VLOOKUP($C172,Merchants!$A$1:$D$41,4,FALSE),"Merchant not found")</f>
        <v>West</v>
      </c>
      <c r="L172" s="3">
        <f>IFERROR(HLOOKUP(F172,Fee_Lookup!$B$1:$E$2,2,FALSE),"Fee not found")</f>
        <v>1.5</v>
      </c>
      <c r="M172" s="3" t="str">
        <f>IF(AND(SUMIF(Transactions!$C$2:$C$548,C172,Transactions!$E$2:$E$548)&gt;5000,K172&lt;&gt;"East"),"High-Value Merchant Day","Normal")</f>
        <v>High-Value Merchant Day</v>
      </c>
    </row>
    <row r="173">
      <c r="A173" s="2" t="s">
        <v>256</v>
      </c>
      <c r="B173" s="2">
        <v>277.0</v>
      </c>
      <c r="C173" s="2">
        <v>27.0</v>
      </c>
      <c r="D173" s="5">
        <v>46044.98888888889</v>
      </c>
      <c r="E173" s="2">
        <v>49.0</v>
      </c>
      <c r="F173" s="2" t="s">
        <v>6</v>
      </c>
      <c r="G173" s="2" t="s">
        <v>36</v>
      </c>
      <c r="H173" s="2">
        <v>75.0</v>
      </c>
      <c r="I173" s="3" t="str">
        <f>IFERROR(VLOOKUP($C173,Merchants!$A$1:$D$41,2,FALSE),"Merchant not found")</f>
        <v>Merchant_027</v>
      </c>
      <c r="J173" s="3" t="str">
        <f>IFERROR(VLOOKUP($C173,Merchants!$A$1:$D$41,3,FALSE),"Merchant not found")</f>
        <v>recharge</v>
      </c>
      <c r="K173" s="3" t="str">
        <f>IFERROR(VLOOKUP($C173,Merchants!$A$1:$D$41,4,FALSE),"Merchant not found")</f>
        <v>South</v>
      </c>
      <c r="L173" s="3">
        <f>IFERROR(HLOOKUP(F173,Fee_Lookup!$B$1:$E$2,2,FALSE),"Fee not found")</f>
        <v>0.5</v>
      </c>
      <c r="M173" s="3" t="str">
        <f>IF(AND(SUMIF(Transactions!$C$2:$C$548,C173,Transactions!$E$2:$E$548)&gt;5000,K173&lt;&gt;"East"),"High-Value Merchant Day","Normal")</f>
        <v>High-Value Merchant Day</v>
      </c>
    </row>
    <row r="174">
      <c r="A174" s="2" t="s">
        <v>257</v>
      </c>
      <c r="B174" s="2">
        <v>213.0</v>
      </c>
      <c r="C174" s="2">
        <v>7.0</v>
      </c>
      <c r="D174" s="5">
        <v>46046.964583333334</v>
      </c>
      <c r="E174" s="2">
        <v>799.0</v>
      </c>
      <c r="F174" s="2" t="s">
        <v>79</v>
      </c>
      <c r="G174" s="2" t="s">
        <v>36</v>
      </c>
      <c r="H174" s="2">
        <v>62.0</v>
      </c>
      <c r="I174" s="3" t="str">
        <f>IFERROR(VLOOKUP($C174,Merchants!$A$1:$D$41,2,FALSE),"Merchant not found")</f>
        <v>Merchant_007</v>
      </c>
      <c r="J174" s="3" t="str">
        <f>IFERROR(VLOOKUP($C174,Merchants!$A$1:$D$41,3,FALSE),"Merchant not found")</f>
        <v>bill_payment</v>
      </c>
      <c r="K174" s="3" t="str">
        <f>IFERROR(VLOOKUP($C174,Merchants!$A$1:$D$41,4,FALSE),"Merchant not found")</f>
        <v>South</v>
      </c>
      <c r="L174" s="3">
        <f>IFERROR(HLOOKUP(F174,Fee_Lookup!$B$1:$E$2,2,FALSE),"Fee not found")</f>
        <v>1.5</v>
      </c>
      <c r="M174" s="3" t="str">
        <f>IF(AND(SUMIF(Transactions!$C$2:$C$548,C174,Transactions!$E$2:$E$548)&gt;5000,K174&lt;&gt;"East"),"High-Value Merchant Day","Normal")</f>
        <v>High-Value Merchant Day</v>
      </c>
    </row>
    <row r="175">
      <c r="A175" s="2" t="s">
        <v>258</v>
      </c>
      <c r="B175" s="2">
        <v>17.0</v>
      </c>
      <c r="C175" s="2">
        <v>24.0</v>
      </c>
      <c r="D175" s="5">
        <v>46042.55347222222</v>
      </c>
      <c r="E175" s="2">
        <v>299.0</v>
      </c>
      <c r="F175" s="2" t="s">
        <v>6</v>
      </c>
      <c r="G175" s="2" t="s">
        <v>36</v>
      </c>
      <c r="H175" s="2">
        <v>27.0</v>
      </c>
      <c r="I175" s="3" t="str">
        <f>IFERROR(VLOOKUP($C175,Merchants!$A$1:$D$41,2,FALSE),"Merchant not found")</f>
        <v>Merchant_024</v>
      </c>
      <c r="J175" s="3" t="str">
        <f>IFERROR(VLOOKUP($C175,Merchants!$A$1:$D$41,3,FALSE),"Merchant not found")</f>
        <v>bill_payment</v>
      </c>
      <c r="K175" s="3" t="str">
        <f>IFERROR(VLOOKUP($C175,Merchants!$A$1:$D$41,4,FALSE),"Merchant not found")</f>
        <v>North</v>
      </c>
      <c r="L175" s="3">
        <f>IFERROR(HLOOKUP(F175,Fee_Lookup!$B$1:$E$2,2,FALSE),"Fee not found")</f>
        <v>0.5</v>
      </c>
      <c r="M175" s="3" t="str">
        <f>IF(AND(SUMIF(Transactions!$C$2:$C$548,C175,Transactions!$E$2:$E$548)&gt;5000,K175&lt;&gt;"East"),"High-Value Merchant Day","Normal")</f>
        <v>Normal</v>
      </c>
    </row>
    <row r="176">
      <c r="A176" s="2" t="s">
        <v>259</v>
      </c>
      <c r="B176" s="2">
        <v>186.0</v>
      </c>
      <c r="C176" s="2">
        <v>7.0</v>
      </c>
      <c r="D176" s="5">
        <v>46037.59375</v>
      </c>
      <c r="E176" s="2">
        <v>1499.0</v>
      </c>
      <c r="F176" s="2" t="s">
        <v>96</v>
      </c>
      <c r="G176" s="2" t="s">
        <v>64</v>
      </c>
      <c r="H176" s="2">
        <v>87.0</v>
      </c>
      <c r="I176" s="3" t="str">
        <f>IFERROR(VLOOKUP($C176,Merchants!$A$1:$D$41,2,FALSE),"Merchant not found")</f>
        <v>Merchant_007</v>
      </c>
      <c r="J176" s="3" t="str">
        <f>IFERROR(VLOOKUP($C176,Merchants!$A$1:$D$41,3,FALSE),"Merchant not found")</f>
        <v>bill_payment</v>
      </c>
      <c r="K176" s="3" t="str">
        <f>IFERROR(VLOOKUP($C176,Merchants!$A$1:$D$41,4,FALSE),"Merchant not found")</f>
        <v>South</v>
      </c>
      <c r="L176" s="3">
        <f>IFERROR(HLOOKUP(F176,Fee_Lookup!$B$1:$E$2,2,FALSE),"Fee not found")</f>
        <v>1.8</v>
      </c>
      <c r="M176" s="3" t="str">
        <f>IF(AND(SUMIF(Transactions!$C$2:$C$548,C176,Transactions!$E$2:$E$548)&gt;5000,K176&lt;&gt;"East"),"High-Value Merchant Day","Normal")</f>
        <v>High-Value Merchant Day</v>
      </c>
    </row>
    <row r="177">
      <c r="A177" s="2" t="s">
        <v>260</v>
      </c>
      <c r="B177" s="2">
        <v>331.0</v>
      </c>
      <c r="C177" s="2">
        <v>23.0</v>
      </c>
      <c r="D177" s="5">
        <v>46034.74791666667</v>
      </c>
      <c r="E177" s="2">
        <v>149.0</v>
      </c>
      <c r="F177" s="2" t="s">
        <v>6</v>
      </c>
      <c r="G177" s="2" t="s">
        <v>36</v>
      </c>
      <c r="H177" s="2">
        <v>7.0</v>
      </c>
      <c r="I177" s="3" t="str">
        <f>IFERROR(VLOOKUP($C177,Merchants!$A$1:$D$41,2,FALSE),"Merchant not found")</f>
        <v>Merchant_023</v>
      </c>
      <c r="J177" s="3" t="str">
        <f>IFERROR(VLOOKUP($C177,Merchants!$A$1:$D$41,3,FALSE),"Merchant not found")</f>
        <v>travel</v>
      </c>
      <c r="K177" s="3" t="str">
        <f>IFERROR(VLOOKUP($C177,Merchants!$A$1:$D$41,4,FALSE),"Merchant not found")</f>
        <v>South</v>
      </c>
      <c r="L177" s="3">
        <f>IFERROR(HLOOKUP(F177,Fee_Lookup!$B$1:$E$2,2,FALSE),"Fee not found")</f>
        <v>0.5</v>
      </c>
      <c r="M177" s="3" t="str">
        <f>IF(AND(SUMIF(Transactions!$C$2:$C$548,C177,Transactions!$E$2:$E$548)&gt;5000,K177&lt;&gt;"East"),"High-Value Merchant Day","Normal")</f>
        <v>Normal</v>
      </c>
    </row>
    <row r="178">
      <c r="A178" s="2" t="s">
        <v>261</v>
      </c>
      <c r="B178" s="2">
        <v>63.0</v>
      </c>
      <c r="C178" s="2">
        <v>30.0</v>
      </c>
      <c r="D178" s="5">
        <v>46035.34166666667</v>
      </c>
      <c r="E178" s="2">
        <v>1499.0</v>
      </c>
      <c r="F178" s="2" t="s">
        <v>96</v>
      </c>
      <c r="G178" s="2" t="s">
        <v>36</v>
      </c>
      <c r="H178" s="2">
        <v>11.0</v>
      </c>
      <c r="I178" s="3" t="str">
        <f>IFERROR(VLOOKUP($C178,Merchants!$A$1:$D$41,2,FALSE),"Merchant not found")</f>
        <v>Merchant_030</v>
      </c>
      <c r="J178" s="3" t="str">
        <f>IFERROR(VLOOKUP($C178,Merchants!$A$1:$D$41,3,FALSE),"Merchant not found")</f>
        <v>travel</v>
      </c>
      <c r="K178" s="3" t="str">
        <f>IFERROR(VLOOKUP($C178,Merchants!$A$1:$D$41,4,FALSE),"Merchant not found")</f>
        <v>West</v>
      </c>
      <c r="L178" s="3">
        <f>IFERROR(HLOOKUP(F178,Fee_Lookup!$B$1:$E$2,2,FALSE),"Fee not found")</f>
        <v>1.8</v>
      </c>
      <c r="M178" s="3" t="str">
        <f>IF(AND(SUMIF(Transactions!$C$2:$C$548,C178,Transactions!$E$2:$E$548)&gt;5000,K178&lt;&gt;"East"),"High-Value Merchant Day","Normal")</f>
        <v>High-Value Merchant Day</v>
      </c>
    </row>
    <row r="179">
      <c r="A179" s="2" t="s">
        <v>262</v>
      </c>
      <c r="B179" s="2">
        <v>328.0</v>
      </c>
      <c r="C179" s="2">
        <v>39.0</v>
      </c>
      <c r="D179" s="5">
        <v>46044.27847222222</v>
      </c>
      <c r="E179" s="2">
        <v>4999.0</v>
      </c>
      <c r="F179" s="2" t="s">
        <v>35</v>
      </c>
      <c r="G179" s="2" t="s">
        <v>62</v>
      </c>
      <c r="H179" s="2">
        <v>2.0</v>
      </c>
      <c r="I179" s="3" t="str">
        <f>IFERROR(VLOOKUP($C179,Merchants!$A$1:$D$41,2,FALSE),"Merchant not found")</f>
        <v>Merchant_039</v>
      </c>
      <c r="J179" s="3" t="str">
        <f>IFERROR(VLOOKUP($C179,Merchants!$A$1:$D$41,3,FALSE),"Merchant not found")</f>
        <v>grocery</v>
      </c>
      <c r="K179" s="3" t="str">
        <f>IFERROR(VLOOKUP($C179,Merchants!$A$1:$D$41,4,FALSE),"Merchant not found")</f>
        <v>South</v>
      </c>
      <c r="L179" s="3">
        <f>IFERROR(HLOOKUP(F179,Fee_Lookup!$B$1:$E$2,2,FALSE),"Fee not found")</f>
        <v>1</v>
      </c>
      <c r="M179" s="3" t="str">
        <f>IF(AND(SUMIF(Transactions!$C$2:$C$548,C179,Transactions!$E$2:$E$548)&gt;5000,K179&lt;&gt;"East"),"High-Value Merchant Day","Normal")</f>
        <v>High-Value Merchant Day</v>
      </c>
    </row>
    <row r="180">
      <c r="A180" s="2" t="s">
        <v>263</v>
      </c>
      <c r="B180" s="2">
        <v>65.0</v>
      </c>
      <c r="C180" s="2">
        <v>37.0</v>
      </c>
      <c r="D180" s="5">
        <v>46024.427083333336</v>
      </c>
      <c r="E180" s="2">
        <v>2999.0</v>
      </c>
      <c r="F180" s="2" t="s">
        <v>96</v>
      </c>
      <c r="G180" s="2" t="s">
        <v>36</v>
      </c>
      <c r="H180" s="2">
        <v>26.0</v>
      </c>
      <c r="I180" s="3" t="str">
        <f>IFERROR(VLOOKUP($C180,Merchants!$A$1:$D$41,2,FALSE),"Merchant not found")</f>
        <v>Merchant_037</v>
      </c>
      <c r="J180" s="3" t="str">
        <f>IFERROR(VLOOKUP($C180,Merchants!$A$1:$D$41,3,FALSE),"Merchant not found")</f>
        <v>travel</v>
      </c>
      <c r="K180" s="3" t="str">
        <f>IFERROR(VLOOKUP($C180,Merchants!$A$1:$D$41,4,FALSE),"Merchant not found")</f>
        <v>North</v>
      </c>
      <c r="L180" s="3">
        <f>IFERROR(HLOOKUP(F180,Fee_Lookup!$B$1:$E$2,2,FALSE),"Fee not found")</f>
        <v>1.8</v>
      </c>
      <c r="M180" s="3" t="str">
        <f>IF(AND(SUMIF(Transactions!$C$2:$C$548,C180,Transactions!$E$2:$E$548)&gt;5000,K180&lt;&gt;"East"),"High-Value Merchant Day","Normal")</f>
        <v>High-Value Merchant Day</v>
      </c>
    </row>
    <row r="181">
      <c r="A181" s="2" t="s">
        <v>264</v>
      </c>
      <c r="B181" s="2">
        <v>301.0</v>
      </c>
      <c r="C181" s="2">
        <v>14.0</v>
      </c>
      <c r="D181" s="5">
        <v>46025.717361111114</v>
      </c>
      <c r="E181" s="2">
        <v>149.0</v>
      </c>
      <c r="F181" s="2" t="s">
        <v>6</v>
      </c>
      <c r="G181" s="2" t="s">
        <v>36</v>
      </c>
      <c r="H181" s="2">
        <v>29.0</v>
      </c>
      <c r="I181" s="3" t="str">
        <f>IFERROR(VLOOKUP($C181,Merchants!$A$1:$D$41,2,FALSE),"Merchant not found")</f>
        <v>Merchant_014</v>
      </c>
      <c r="J181" s="3" t="str">
        <f>IFERROR(VLOOKUP($C181,Merchants!$A$1:$D$41,3,FALSE),"Merchant not found")</f>
        <v>grocery</v>
      </c>
      <c r="K181" s="3" t="str">
        <f>IFERROR(VLOOKUP($C181,Merchants!$A$1:$D$41,4,FALSE),"Merchant not found")</f>
        <v>South</v>
      </c>
      <c r="L181" s="3">
        <f>IFERROR(HLOOKUP(F181,Fee_Lookup!$B$1:$E$2,2,FALSE),"Fee not found")</f>
        <v>0.5</v>
      </c>
      <c r="M181" s="3" t="str">
        <f>IF(AND(SUMIF(Transactions!$C$2:$C$548,C181,Transactions!$E$2:$E$548)&gt;5000,K181&lt;&gt;"East"),"High-Value Merchant Day","Normal")</f>
        <v>High-Value Merchant Day</v>
      </c>
    </row>
    <row r="182">
      <c r="A182" s="2" t="s">
        <v>265</v>
      </c>
      <c r="B182" s="2">
        <v>306.0</v>
      </c>
      <c r="C182" s="2">
        <v>1.0</v>
      </c>
      <c r="D182" s="5">
        <v>46033.20138888889</v>
      </c>
      <c r="E182" s="2">
        <v>299.0</v>
      </c>
      <c r="F182" s="2" t="s">
        <v>6</v>
      </c>
      <c r="G182" s="2" t="s">
        <v>64</v>
      </c>
      <c r="H182" s="2">
        <v>35.0</v>
      </c>
      <c r="I182" s="3" t="str">
        <f>IFERROR(VLOOKUP($C182,Merchants!$A$1:$D$41,2,FALSE),"Merchant not found")</f>
        <v>Merchant_001</v>
      </c>
      <c r="J182" s="3" t="str">
        <f>IFERROR(VLOOKUP($C182,Merchants!$A$1:$D$41,3,FALSE),"Merchant not found")</f>
        <v>entertainment</v>
      </c>
      <c r="K182" s="3" t="str">
        <f>IFERROR(VLOOKUP($C182,Merchants!$A$1:$D$41,4,FALSE),"Merchant not found")</f>
        <v>West</v>
      </c>
      <c r="L182" s="3">
        <f>IFERROR(HLOOKUP(F182,Fee_Lookup!$B$1:$E$2,2,FALSE),"Fee not found")</f>
        <v>0.5</v>
      </c>
      <c r="M182" s="3" t="str">
        <f>IF(AND(SUMIF(Transactions!$C$2:$C$548,C182,Transactions!$E$2:$E$548)&gt;5000,K182&lt;&gt;"East"),"High-Value Merchant Day","Normal")</f>
        <v>High-Value Merchant Day</v>
      </c>
    </row>
    <row r="183">
      <c r="A183" s="2" t="s">
        <v>266</v>
      </c>
      <c r="B183" s="2">
        <v>277.0</v>
      </c>
      <c r="C183" s="2">
        <v>17.0</v>
      </c>
      <c r="D183" s="5">
        <v>46050.17222222222</v>
      </c>
      <c r="E183" s="2">
        <v>299.0</v>
      </c>
      <c r="F183" s="2" t="s">
        <v>6</v>
      </c>
      <c r="G183" s="2" t="s">
        <v>36</v>
      </c>
      <c r="H183" s="2">
        <v>22.0</v>
      </c>
      <c r="I183" s="3" t="str">
        <f>IFERROR(VLOOKUP($C183,Merchants!$A$1:$D$41,2,FALSE),"Merchant not found")</f>
        <v>Merchant_017</v>
      </c>
      <c r="J183" s="3" t="str">
        <f>IFERROR(VLOOKUP($C183,Merchants!$A$1:$D$41,3,FALSE),"Merchant not found")</f>
        <v>bill_payment</v>
      </c>
      <c r="K183" s="3" t="str">
        <f>IFERROR(VLOOKUP($C183,Merchants!$A$1:$D$41,4,FALSE),"Merchant not found")</f>
        <v>East</v>
      </c>
      <c r="L183" s="3">
        <f>IFERROR(HLOOKUP(F183,Fee_Lookup!$B$1:$E$2,2,FALSE),"Fee not found")</f>
        <v>0.5</v>
      </c>
      <c r="M183" s="3" t="str">
        <f>IF(AND(SUMIF(Transactions!$C$2:$C$548,C183,Transactions!$E$2:$E$548)&gt;5000,K183&lt;&gt;"East"),"High-Value Merchant Day","Normal")</f>
        <v>Normal</v>
      </c>
    </row>
    <row r="184">
      <c r="A184" s="2" t="s">
        <v>267</v>
      </c>
      <c r="B184" s="2">
        <v>14.0</v>
      </c>
      <c r="C184" s="2">
        <v>9.0</v>
      </c>
      <c r="D184" s="5">
        <v>46026.913194444445</v>
      </c>
      <c r="E184" s="2">
        <v>499.0</v>
      </c>
      <c r="F184" s="2" t="s">
        <v>6</v>
      </c>
      <c r="G184" s="2" t="s">
        <v>36</v>
      </c>
      <c r="H184" s="2">
        <v>1.0</v>
      </c>
      <c r="I184" s="3" t="str">
        <f>IFERROR(VLOOKUP($C184,Merchants!$A$1:$D$41,2,FALSE),"Merchant not found")</f>
        <v>Merchant_009</v>
      </c>
      <c r="J184" s="3" t="str">
        <f>IFERROR(VLOOKUP($C184,Merchants!$A$1:$D$41,3,FALSE),"Merchant not found")</f>
        <v>entertainment</v>
      </c>
      <c r="K184" s="3" t="str">
        <f>IFERROR(VLOOKUP($C184,Merchants!$A$1:$D$41,4,FALSE),"Merchant not found")</f>
        <v>West</v>
      </c>
      <c r="L184" s="3">
        <f>IFERROR(HLOOKUP(F184,Fee_Lookup!$B$1:$E$2,2,FALSE),"Fee not found")</f>
        <v>0.5</v>
      </c>
      <c r="M184" s="3" t="str">
        <f>IF(AND(SUMIF(Transactions!$C$2:$C$548,C184,Transactions!$E$2:$E$548)&gt;5000,K184&lt;&gt;"East"),"High-Value Merchant Day","Normal")</f>
        <v>Normal</v>
      </c>
    </row>
    <row r="185">
      <c r="A185" s="2" t="s">
        <v>268</v>
      </c>
      <c r="B185" s="2">
        <v>166.0</v>
      </c>
      <c r="C185" s="2">
        <v>2.0</v>
      </c>
      <c r="D185" s="5">
        <v>46034.31736111111</v>
      </c>
      <c r="E185" s="2">
        <v>299.0</v>
      </c>
      <c r="F185" s="2" t="s">
        <v>96</v>
      </c>
      <c r="G185" s="2" t="s">
        <v>36</v>
      </c>
      <c r="H185" s="2">
        <v>22.0</v>
      </c>
      <c r="I185" s="3" t="str">
        <f>IFERROR(VLOOKUP($C185,Merchants!$A$1:$D$41,2,FALSE),"Merchant not found")</f>
        <v>Merchant_002</v>
      </c>
      <c r="J185" s="3" t="str">
        <f>IFERROR(VLOOKUP($C185,Merchants!$A$1:$D$41,3,FALSE),"Merchant not found")</f>
        <v>recharge</v>
      </c>
      <c r="K185" s="3" t="str">
        <f>IFERROR(VLOOKUP($C185,Merchants!$A$1:$D$41,4,FALSE),"Merchant not found")</f>
        <v>South</v>
      </c>
      <c r="L185" s="3">
        <f>IFERROR(HLOOKUP(F185,Fee_Lookup!$B$1:$E$2,2,FALSE),"Fee not found")</f>
        <v>1.8</v>
      </c>
      <c r="M185" s="3" t="str">
        <f>IF(AND(SUMIF(Transactions!$C$2:$C$548,C185,Transactions!$E$2:$E$548)&gt;5000,K185&lt;&gt;"East"),"High-Value Merchant Day","Normal")</f>
        <v>Normal</v>
      </c>
    </row>
    <row r="186">
      <c r="A186" s="2" t="s">
        <v>269</v>
      </c>
      <c r="B186" s="2">
        <v>216.0</v>
      </c>
      <c r="C186" s="2">
        <v>34.0</v>
      </c>
      <c r="D186" s="5">
        <v>46031.04722222222</v>
      </c>
      <c r="E186" s="2">
        <v>299.0</v>
      </c>
      <c r="F186" s="2" t="s">
        <v>96</v>
      </c>
      <c r="G186" s="2" t="s">
        <v>36</v>
      </c>
      <c r="H186" s="2">
        <v>14.0</v>
      </c>
      <c r="I186" s="3" t="str">
        <f>IFERROR(VLOOKUP($C186,Merchants!$A$1:$D$41,2,FALSE),"Merchant not found")</f>
        <v>Merchant_034</v>
      </c>
      <c r="J186" s="3" t="str">
        <f>IFERROR(VLOOKUP($C186,Merchants!$A$1:$D$41,3,FALSE),"Merchant not found")</f>
        <v>recharge</v>
      </c>
      <c r="K186" s="3" t="str">
        <f>IFERROR(VLOOKUP($C186,Merchants!$A$1:$D$41,4,FALSE),"Merchant not found")</f>
        <v>West</v>
      </c>
      <c r="L186" s="3">
        <f>IFERROR(HLOOKUP(F186,Fee_Lookup!$B$1:$E$2,2,FALSE),"Fee not found")</f>
        <v>1.8</v>
      </c>
      <c r="M186" s="3" t="str">
        <f>IF(AND(SUMIF(Transactions!$C$2:$C$548,C186,Transactions!$E$2:$E$548)&gt;5000,K186&lt;&gt;"East"),"High-Value Merchant Day","Normal")</f>
        <v>High-Value Merchant Day</v>
      </c>
    </row>
    <row r="187">
      <c r="A187" s="2" t="s">
        <v>270</v>
      </c>
      <c r="B187" s="2">
        <v>230.0</v>
      </c>
      <c r="C187" s="2">
        <v>24.0</v>
      </c>
      <c r="D187" s="5">
        <v>46046.104166666664</v>
      </c>
      <c r="E187" s="2">
        <v>49.0</v>
      </c>
      <c r="F187" s="2" t="s">
        <v>6</v>
      </c>
      <c r="G187" s="2" t="s">
        <v>36</v>
      </c>
      <c r="H187" s="2">
        <v>65.0</v>
      </c>
      <c r="I187" s="3" t="str">
        <f>IFERROR(VLOOKUP($C187,Merchants!$A$1:$D$41,2,FALSE),"Merchant not found")</f>
        <v>Merchant_024</v>
      </c>
      <c r="J187" s="3" t="str">
        <f>IFERROR(VLOOKUP($C187,Merchants!$A$1:$D$41,3,FALSE),"Merchant not found")</f>
        <v>bill_payment</v>
      </c>
      <c r="K187" s="3" t="str">
        <f>IFERROR(VLOOKUP($C187,Merchants!$A$1:$D$41,4,FALSE),"Merchant not found")</f>
        <v>North</v>
      </c>
      <c r="L187" s="3">
        <f>IFERROR(HLOOKUP(F187,Fee_Lookup!$B$1:$E$2,2,FALSE),"Fee not found")</f>
        <v>0.5</v>
      </c>
      <c r="M187" s="3" t="str">
        <f>IF(AND(SUMIF(Transactions!$C$2:$C$548,C187,Transactions!$E$2:$E$548)&gt;5000,K187&lt;&gt;"East"),"High-Value Merchant Day","Normal")</f>
        <v>Normal</v>
      </c>
    </row>
    <row r="188">
      <c r="A188" s="2" t="s">
        <v>271</v>
      </c>
      <c r="B188" s="2">
        <v>258.0</v>
      </c>
      <c r="C188" s="2">
        <v>15.0</v>
      </c>
      <c r="D188" s="5">
        <v>46041.14444444444</v>
      </c>
      <c r="E188" s="2">
        <v>499.0</v>
      </c>
      <c r="F188" s="2" t="s">
        <v>35</v>
      </c>
      <c r="G188" s="2" t="s">
        <v>36</v>
      </c>
      <c r="H188" s="2">
        <v>78.0</v>
      </c>
      <c r="I188" s="3" t="str">
        <f>IFERROR(VLOOKUP($C188,Merchants!$A$1:$D$41,2,FALSE),"Merchant not found")</f>
        <v>Merchant_015</v>
      </c>
      <c r="J188" s="3" t="str">
        <f>IFERROR(VLOOKUP($C188,Merchants!$A$1:$D$41,3,FALSE),"Merchant not found")</f>
        <v>travel</v>
      </c>
      <c r="K188" s="3" t="str">
        <f>IFERROR(VLOOKUP($C188,Merchants!$A$1:$D$41,4,FALSE),"Merchant not found")</f>
        <v>West</v>
      </c>
      <c r="L188" s="3">
        <f>IFERROR(HLOOKUP(F188,Fee_Lookup!$B$1:$E$2,2,FALSE),"Fee not found")</f>
        <v>1</v>
      </c>
      <c r="M188" s="3" t="str">
        <f>IF(AND(SUMIF(Transactions!$C$2:$C$548,C188,Transactions!$E$2:$E$548)&gt;5000,K188&lt;&gt;"East"),"High-Value Merchant Day","Normal")</f>
        <v>High-Value Merchant Day</v>
      </c>
    </row>
    <row r="189">
      <c r="A189" s="2" t="s">
        <v>272</v>
      </c>
      <c r="B189" s="2">
        <v>338.0</v>
      </c>
      <c r="C189" s="2">
        <v>34.0</v>
      </c>
      <c r="D189" s="5">
        <v>46024.993055555555</v>
      </c>
      <c r="E189" s="2">
        <v>49.0</v>
      </c>
      <c r="F189" s="2" t="s">
        <v>6</v>
      </c>
      <c r="G189" s="2" t="s">
        <v>36</v>
      </c>
      <c r="H189" s="2">
        <v>38.0</v>
      </c>
      <c r="I189" s="3" t="str">
        <f>IFERROR(VLOOKUP($C189,Merchants!$A$1:$D$41,2,FALSE),"Merchant not found")</f>
        <v>Merchant_034</v>
      </c>
      <c r="J189" s="3" t="str">
        <f>IFERROR(VLOOKUP($C189,Merchants!$A$1:$D$41,3,FALSE),"Merchant not found")</f>
        <v>recharge</v>
      </c>
      <c r="K189" s="3" t="str">
        <f>IFERROR(VLOOKUP($C189,Merchants!$A$1:$D$41,4,FALSE),"Merchant not found")</f>
        <v>West</v>
      </c>
      <c r="L189" s="3">
        <f>IFERROR(HLOOKUP(F189,Fee_Lookup!$B$1:$E$2,2,FALSE),"Fee not found")</f>
        <v>0.5</v>
      </c>
      <c r="M189" s="3" t="str">
        <f>IF(AND(SUMIF(Transactions!$C$2:$C$548,C189,Transactions!$E$2:$E$548)&gt;5000,K189&lt;&gt;"East"),"High-Value Merchant Day","Normal")</f>
        <v>High-Value Merchant Day</v>
      </c>
    </row>
    <row r="190">
      <c r="A190" s="2" t="s">
        <v>273</v>
      </c>
      <c r="B190" s="2">
        <v>32.0</v>
      </c>
      <c r="C190" s="2">
        <v>31.0</v>
      </c>
      <c r="D190" s="5">
        <v>46037.834027777775</v>
      </c>
      <c r="E190" s="2">
        <v>299.0</v>
      </c>
      <c r="F190" s="2" t="s">
        <v>6</v>
      </c>
      <c r="G190" s="2" t="s">
        <v>36</v>
      </c>
      <c r="H190" s="2">
        <v>51.0</v>
      </c>
      <c r="I190" s="3" t="str">
        <f>IFERROR(VLOOKUP($C190,Merchants!$A$1:$D$41,2,FALSE),"Merchant not found")</f>
        <v>Merchant_031</v>
      </c>
      <c r="J190" s="3" t="str">
        <f>IFERROR(VLOOKUP($C190,Merchants!$A$1:$D$41,3,FALSE),"Merchant not found")</f>
        <v>bill_payment</v>
      </c>
      <c r="K190" s="3" t="str">
        <f>IFERROR(VLOOKUP($C190,Merchants!$A$1:$D$41,4,FALSE),"Merchant not found")</f>
        <v>South</v>
      </c>
      <c r="L190" s="3">
        <f>IFERROR(HLOOKUP(F190,Fee_Lookup!$B$1:$E$2,2,FALSE),"Fee not found")</f>
        <v>0.5</v>
      </c>
      <c r="M190" s="3" t="str">
        <f>IF(AND(SUMIF(Transactions!$C$2:$C$548,C190,Transactions!$E$2:$E$548)&gt;5000,K190&lt;&gt;"East"),"High-Value Merchant Day","Normal")</f>
        <v>Normal</v>
      </c>
    </row>
    <row r="191">
      <c r="A191" s="2" t="s">
        <v>274</v>
      </c>
      <c r="B191" s="2">
        <v>252.0</v>
      </c>
      <c r="C191" s="2">
        <v>29.0</v>
      </c>
      <c r="D191" s="5">
        <v>46036.879166666666</v>
      </c>
      <c r="E191" s="2">
        <v>1499.0</v>
      </c>
      <c r="F191" s="2" t="s">
        <v>6</v>
      </c>
      <c r="G191" s="2" t="s">
        <v>36</v>
      </c>
      <c r="H191" s="2">
        <v>9.0</v>
      </c>
      <c r="I191" s="3" t="str">
        <f>IFERROR(VLOOKUP($C191,Merchants!$A$1:$D$41,2,FALSE),"Merchant not found")</f>
        <v>Merchant_029</v>
      </c>
      <c r="J191" s="3" t="str">
        <f>IFERROR(VLOOKUP($C191,Merchants!$A$1:$D$41,3,FALSE),"Merchant not found")</f>
        <v>ecommerce</v>
      </c>
      <c r="K191" s="3" t="str">
        <f>IFERROR(VLOOKUP($C191,Merchants!$A$1:$D$41,4,FALSE),"Merchant not found")</f>
        <v>North</v>
      </c>
      <c r="L191" s="3">
        <f>IFERROR(HLOOKUP(F191,Fee_Lookup!$B$1:$E$2,2,FALSE),"Fee not found")</f>
        <v>0.5</v>
      </c>
      <c r="M191" s="3" t="str">
        <f>IF(AND(SUMIF(Transactions!$C$2:$C$548,C191,Transactions!$E$2:$E$548)&gt;5000,K191&lt;&gt;"East"),"High-Value Merchant Day","Normal")</f>
        <v>High-Value Merchant Day</v>
      </c>
    </row>
    <row r="192">
      <c r="A192" s="2" t="s">
        <v>275</v>
      </c>
      <c r="B192" s="2">
        <v>312.0</v>
      </c>
      <c r="C192" s="2">
        <v>10.0</v>
      </c>
      <c r="D192" s="5">
        <v>46051.09722222222</v>
      </c>
      <c r="E192" s="2">
        <v>799.0</v>
      </c>
      <c r="F192" s="2" t="s">
        <v>6</v>
      </c>
      <c r="G192" s="2" t="s">
        <v>36</v>
      </c>
      <c r="H192" s="2">
        <v>8.0</v>
      </c>
      <c r="I192" s="3" t="str">
        <f>IFERROR(VLOOKUP($C192,Merchants!$A$1:$D$41,2,FALSE),"Merchant not found")</f>
        <v>Merchant_010</v>
      </c>
      <c r="J192" s="3" t="str">
        <f>IFERROR(VLOOKUP($C192,Merchants!$A$1:$D$41,3,FALSE),"Merchant not found")</f>
        <v>grocery</v>
      </c>
      <c r="K192" s="3" t="str">
        <f>IFERROR(VLOOKUP($C192,Merchants!$A$1:$D$41,4,FALSE),"Merchant not found")</f>
        <v>East</v>
      </c>
      <c r="L192" s="3">
        <f>IFERROR(HLOOKUP(F192,Fee_Lookup!$B$1:$E$2,2,FALSE),"Fee not found")</f>
        <v>0.5</v>
      </c>
      <c r="M192" s="3" t="str">
        <f>IF(AND(SUMIF(Transactions!$C$2:$C$548,C192,Transactions!$E$2:$E$548)&gt;5000,K192&lt;&gt;"East"),"High-Value Merchant Day","Normal")</f>
        <v>Normal</v>
      </c>
    </row>
    <row r="193">
      <c r="A193" s="2" t="s">
        <v>276</v>
      </c>
      <c r="B193" s="2">
        <v>325.0</v>
      </c>
      <c r="C193" s="2">
        <v>38.0</v>
      </c>
      <c r="D193" s="5">
        <v>46027.36041666667</v>
      </c>
      <c r="E193" s="2">
        <v>1499.0</v>
      </c>
      <c r="F193" s="2" t="s">
        <v>79</v>
      </c>
      <c r="G193" s="2" t="s">
        <v>36</v>
      </c>
      <c r="H193" s="2">
        <v>70.0</v>
      </c>
      <c r="I193" s="3" t="str">
        <f>IFERROR(VLOOKUP($C193,Merchants!$A$1:$D$41,2,FALSE),"Merchant not found")</f>
        <v>Merchant_038</v>
      </c>
      <c r="J193" s="3" t="str">
        <f>IFERROR(VLOOKUP($C193,Merchants!$A$1:$D$41,3,FALSE),"Merchant not found")</f>
        <v>bill_payment</v>
      </c>
      <c r="K193" s="3" t="str">
        <f>IFERROR(VLOOKUP($C193,Merchants!$A$1:$D$41,4,FALSE),"Merchant not found")</f>
        <v>West</v>
      </c>
      <c r="L193" s="3">
        <f>IFERROR(HLOOKUP(F193,Fee_Lookup!$B$1:$E$2,2,FALSE),"Fee not found")</f>
        <v>1.5</v>
      </c>
      <c r="M193" s="3" t="str">
        <f>IF(AND(SUMIF(Transactions!$C$2:$C$548,C193,Transactions!$E$2:$E$548)&gt;5000,K193&lt;&gt;"East"),"High-Value Merchant Day","Normal")</f>
        <v>Normal</v>
      </c>
    </row>
    <row r="194">
      <c r="A194" s="2" t="s">
        <v>277</v>
      </c>
      <c r="B194" s="2">
        <v>306.0</v>
      </c>
      <c r="C194" s="2">
        <v>34.0</v>
      </c>
      <c r="D194" s="5">
        <v>46045.433333333334</v>
      </c>
      <c r="E194" s="2">
        <v>2999.0</v>
      </c>
      <c r="F194" s="2" t="s">
        <v>6</v>
      </c>
      <c r="G194" s="2" t="s">
        <v>36</v>
      </c>
      <c r="H194" s="2">
        <v>37.0</v>
      </c>
      <c r="I194" s="3" t="str">
        <f>IFERROR(VLOOKUP($C194,Merchants!$A$1:$D$41,2,FALSE),"Merchant not found")</f>
        <v>Merchant_034</v>
      </c>
      <c r="J194" s="3" t="str">
        <f>IFERROR(VLOOKUP($C194,Merchants!$A$1:$D$41,3,FALSE),"Merchant not found")</f>
        <v>recharge</v>
      </c>
      <c r="K194" s="3" t="str">
        <f>IFERROR(VLOOKUP($C194,Merchants!$A$1:$D$41,4,FALSE),"Merchant not found")</f>
        <v>West</v>
      </c>
      <c r="L194" s="3">
        <f>IFERROR(HLOOKUP(F194,Fee_Lookup!$B$1:$E$2,2,FALSE),"Fee not found")</f>
        <v>0.5</v>
      </c>
      <c r="M194" s="3" t="str">
        <f>IF(AND(SUMIF(Transactions!$C$2:$C$548,C194,Transactions!$E$2:$E$548)&gt;5000,K194&lt;&gt;"East"),"High-Value Merchant Day","Normal")</f>
        <v>High-Value Merchant Day</v>
      </c>
    </row>
    <row r="195">
      <c r="A195" s="2" t="s">
        <v>278</v>
      </c>
      <c r="B195" s="2">
        <v>221.0</v>
      </c>
      <c r="C195" s="2">
        <v>7.0</v>
      </c>
      <c r="D195" s="5">
        <v>46037.69305555556</v>
      </c>
      <c r="E195" s="2">
        <v>149.0</v>
      </c>
      <c r="F195" s="2" t="s">
        <v>79</v>
      </c>
      <c r="G195" s="2" t="s">
        <v>36</v>
      </c>
      <c r="H195" s="2">
        <v>89.0</v>
      </c>
      <c r="I195" s="3" t="str">
        <f>IFERROR(VLOOKUP($C195,Merchants!$A$1:$D$41,2,FALSE),"Merchant not found")</f>
        <v>Merchant_007</v>
      </c>
      <c r="J195" s="3" t="str">
        <f>IFERROR(VLOOKUP($C195,Merchants!$A$1:$D$41,3,FALSE),"Merchant not found")</f>
        <v>bill_payment</v>
      </c>
      <c r="K195" s="3" t="str">
        <f>IFERROR(VLOOKUP($C195,Merchants!$A$1:$D$41,4,FALSE),"Merchant not found")</f>
        <v>South</v>
      </c>
      <c r="L195" s="3">
        <f>IFERROR(HLOOKUP(F195,Fee_Lookup!$B$1:$E$2,2,FALSE),"Fee not found")</f>
        <v>1.5</v>
      </c>
      <c r="M195" s="3" t="str">
        <f>IF(AND(SUMIF(Transactions!$C$2:$C$548,C195,Transactions!$E$2:$E$548)&gt;5000,K195&lt;&gt;"East"),"High-Value Merchant Day","Normal")</f>
        <v>High-Value Merchant Day</v>
      </c>
    </row>
    <row r="196">
      <c r="A196" s="2" t="s">
        <v>279</v>
      </c>
      <c r="B196" s="2">
        <v>283.0</v>
      </c>
      <c r="C196" s="2">
        <v>14.0</v>
      </c>
      <c r="D196" s="5">
        <v>46026.861805555556</v>
      </c>
      <c r="E196" s="2">
        <v>99.0</v>
      </c>
      <c r="F196" s="2" t="s">
        <v>35</v>
      </c>
      <c r="G196" s="2" t="s">
        <v>36</v>
      </c>
      <c r="H196" s="2">
        <v>55.0</v>
      </c>
      <c r="I196" s="3" t="str">
        <f>IFERROR(VLOOKUP($C196,Merchants!$A$1:$D$41,2,FALSE),"Merchant not found")</f>
        <v>Merchant_014</v>
      </c>
      <c r="J196" s="3" t="str">
        <f>IFERROR(VLOOKUP($C196,Merchants!$A$1:$D$41,3,FALSE),"Merchant not found")</f>
        <v>grocery</v>
      </c>
      <c r="K196" s="3" t="str">
        <f>IFERROR(VLOOKUP($C196,Merchants!$A$1:$D$41,4,FALSE),"Merchant not found")</f>
        <v>South</v>
      </c>
      <c r="L196" s="3">
        <f>IFERROR(HLOOKUP(F196,Fee_Lookup!$B$1:$E$2,2,FALSE),"Fee not found")</f>
        <v>1</v>
      </c>
      <c r="M196" s="3" t="str">
        <f>IF(AND(SUMIF(Transactions!$C$2:$C$548,C196,Transactions!$E$2:$E$548)&gt;5000,K196&lt;&gt;"East"),"High-Value Merchant Day","Normal")</f>
        <v>High-Value Merchant Day</v>
      </c>
    </row>
    <row r="197">
      <c r="A197" s="2" t="s">
        <v>280</v>
      </c>
      <c r="B197" s="2">
        <v>174.0</v>
      </c>
      <c r="C197" s="2">
        <v>30.0</v>
      </c>
      <c r="D197" s="5">
        <v>46037.30972222222</v>
      </c>
      <c r="E197" s="2">
        <v>49.0</v>
      </c>
      <c r="F197" s="2" t="s">
        <v>6</v>
      </c>
      <c r="G197" s="2" t="s">
        <v>36</v>
      </c>
      <c r="H197" s="2">
        <v>51.0</v>
      </c>
      <c r="I197" s="3" t="str">
        <f>IFERROR(VLOOKUP($C197,Merchants!$A$1:$D$41,2,FALSE),"Merchant not found")</f>
        <v>Merchant_030</v>
      </c>
      <c r="J197" s="3" t="str">
        <f>IFERROR(VLOOKUP($C197,Merchants!$A$1:$D$41,3,FALSE),"Merchant not found")</f>
        <v>travel</v>
      </c>
      <c r="K197" s="3" t="str">
        <f>IFERROR(VLOOKUP($C197,Merchants!$A$1:$D$41,4,FALSE),"Merchant not found")</f>
        <v>West</v>
      </c>
      <c r="L197" s="3">
        <f>IFERROR(HLOOKUP(F197,Fee_Lookup!$B$1:$E$2,2,FALSE),"Fee not found")</f>
        <v>0.5</v>
      </c>
      <c r="M197" s="3" t="str">
        <f>IF(AND(SUMIF(Transactions!$C$2:$C$548,C197,Transactions!$E$2:$E$548)&gt;5000,K197&lt;&gt;"East"),"High-Value Merchant Day","Normal")</f>
        <v>High-Value Merchant Day</v>
      </c>
    </row>
    <row r="198">
      <c r="A198" s="2" t="s">
        <v>281</v>
      </c>
      <c r="B198" s="2">
        <v>161.0</v>
      </c>
      <c r="C198" s="2">
        <v>28.0</v>
      </c>
      <c r="D198" s="5">
        <v>46036.9625</v>
      </c>
      <c r="E198" s="2">
        <v>49.0</v>
      </c>
      <c r="F198" s="2" t="s">
        <v>6</v>
      </c>
      <c r="G198" s="2" t="s">
        <v>36</v>
      </c>
      <c r="H198" s="2">
        <v>40.0</v>
      </c>
      <c r="I198" s="3" t="str">
        <f>IFERROR(VLOOKUP($C198,Merchants!$A$1:$D$41,2,FALSE),"Merchant not found")</f>
        <v>Merchant_028</v>
      </c>
      <c r="J198" s="3" t="str">
        <f>IFERROR(VLOOKUP($C198,Merchants!$A$1:$D$41,3,FALSE),"Merchant not found")</f>
        <v>food_delivery</v>
      </c>
      <c r="K198" s="3" t="str">
        <f>IFERROR(VLOOKUP($C198,Merchants!$A$1:$D$41,4,FALSE),"Merchant not found")</f>
        <v>East</v>
      </c>
      <c r="L198" s="3">
        <f>IFERROR(HLOOKUP(F198,Fee_Lookup!$B$1:$E$2,2,FALSE),"Fee not found")</f>
        <v>0.5</v>
      </c>
      <c r="M198" s="3" t="str">
        <f>IF(AND(SUMIF(Transactions!$C$2:$C$548,C198,Transactions!$E$2:$E$548)&gt;5000,K198&lt;&gt;"East"),"High-Value Merchant Day","Normal")</f>
        <v>Normal</v>
      </c>
    </row>
    <row r="199">
      <c r="A199" s="2" t="s">
        <v>282</v>
      </c>
      <c r="B199" s="2">
        <v>79.0</v>
      </c>
      <c r="C199" s="2">
        <v>31.0</v>
      </c>
      <c r="D199" s="5">
        <v>46044.34930555556</v>
      </c>
      <c r="E199" s="2">
        <v>99.0</v>
      </c>
      <c r="F199" s="2" t="s">
        <v>6</v>
      </c>
      <c r="G199" s="2" t="s">
        <v>36</v>
      </c>
      <c r="H199" s="2">
        <v>8.0</v>
      </c>
      <c r="I199" s="3" t="str">
        <f>IFERROR(VLOOKUP($C199,Merchants!$A$1:$D$41,2,FALSE),"Merchant not found")</f>
        <v>Merchant_031</v>
      </c>
      <c r="J199" s="3" t="str">
        <f>IFERROR(VLOOKUP($C199,Merchants!$A$1:$D$41,3,FALSE),"Merchant not found")</f>
        <v>bill_payment</v>
      </c>
      <c r="K199" s="3" t="str">
        <f>IFERROR(VLOOKUP($C199,Merchants!$A$1:$D$41,4,FALSE),"Merchant not found")</f>
        <v>South</v>
      </c>
      <c r="L199" s="3">
        <f>IFERROR(HLOOKUP(F199,Fee_Lookup!$B$1:$E$2,2,FALSE),"Fee not found")</f>
        <v>0.5</v>
      </c>
      <c r="M199" s="3" t="str">
        <f>IF(AND(SUMIF(Transactions!$C$2:$C$548,C199,Transactions!$E$2:$E$548)&gt;5000,K199&lt;&gt;"East"),"High-Value Merchant Day","Normal")</f>
        <v>Normal</v>
      </c>
    </row>
    <row r="200">
      <c r="A200" s="2" t="s">
        <v>283</v>
      </c>
      <c r="B200" s="2">
        <v>222.0</v>
      </c>
      <c r="C200" s="2">
        <v>7.0</v>
      </c>
      <c r="D200" s="5">
        <v>46025.086805555555</v>
      </c>
      <c r="E200" s="2">
        <v>149.0</v>
      </c>
      <c r="F200" s="2" t="s">
        <v>35</v>
      </c>
      <c r="G200" s="2" t="s">
        <v>36</v>
      </c>
      <c r="H200" s="2">
        <v>95.0</v>
      </c>
      <c r="I200" s="3" t="str">
        <f>IFERROR(VLOOKUP($C200,Merchants!$A$1:$D$41,2,FALSE),"Merchant not found")</f>
        <v>Merchant_007</v>
      </c>
      <c r="J200" s="3" t="str">
        <f>IFERROR(VLOOKUP($C200,Merchants!$A$1:$D$41,3,FALSE),"Merchant not found")</f>
        <v>bill_payment</v>
      </c>
      <c r="K200" s="3" t="str">
        <f>IFERROR(VLOOKUP($C200,Merchants!$A$1:$D$41,4,FALSE),"Merchant not found")</f>
        <v>South</v>
      </c>
      <c r="L200" s="3">
        <f>IFERROR(HLOOKUP(F200,Fee_Lookup!$B$1:$E$2,2,FALSE),"Fee not found")</f>
        <v>1</v>
      </c>
      <c r="M200" s="3" t="str">
        <f>IF(AND(SUMIF(Transactions!$C$2:$C$548,C200,Transactions!$E$2:$E$548)&gt;5000,K200&lt;&gt;"East"),"High-Value Merchant Day","Normal")</f>
        <v>High-Value Merchant Day</v>
      </c>
    </row>
    <row r="201">
      <c r="A201" s="2" t="s">
        <v>284</v>
      </c>
      <c r="B201" s="2">
        <v>67.0</v>
      </c>
      <c r="C201" s="2">
        <v>36.0</v>
      </c>
      <c r="D201" s="5">
        <v>46046.49375</v>
      </c>
      <c r="E201" s="2">
        <v>99.0</v>
      </c>
      <c r="F201" s="2" t="s">
        <v>6</v>
      </c>
      <c r="G201" s="2" t="s">
        <v>36</v>
      </c>
      <c r="H201" s="2">
        <v>7.0</v>
      </c>
      <c r="I201" s="3" t="str">
        <f>IFERROR(VLOOKUP($C201,Merchants!$A$1:$D$41,2,FALSE),"Merchant not found")</f>
        <v>Merchant_036</v>
      </c>
      <c r="J201" s="3" t="str">
        <f>IFERROR(VLOOKUP($C201,Merchants!$A$1:$D$41,3,FALSE),"Merchant not found")</f>
        <v>ecommerce</v>
      </c>
      <c r="K201" s="3" t="str">
        <f>IFERROR(VLOOKUP($C201,Merchants!$A$1:$D$41,4,FALSE),"Merchant not found")</f>
        <v>East</v>
      </c>
      <c r="L201" s="3">
        <f>IFERROR(HLOOKUP(F201,Fee_Lookup!$B$1:$E$2,2,FALSE),"Fee not found")</f>
        <v>0.5</v>
      </c>
      <c r="M201" s="3" t="str">
        <f>IF(AND(SUMIF(Transactions!$C$2:$C$548,C201,Transactions!$E$2:$E$548)&gt;5000,K201&lt;&gt;"East"),"High-Value Merchant Day","Normal")</f>
        <v>Normal</v>
      </c>
    </row>
    <row r="202">
      <c r="A202" s="2" t="s">
        <v>285</v>
      </c>
      <c r="B202" s="2">
        <v>169.0</v>
      </c>
      <c r="C202" s="2">
        <v>8.0</v>
      </c>
      <c r="D202" s="5">
        <v>46041.73263888889</v>
      </c>
      <c r="E202" s="2">
        <v>99.0</v>
      </c>
      <c r="F202" s="2" t="s">
        <v>6</v>
      </c>
      <c r="G202" s="2" t="s">
        <v>36</v>
      </c>
      <c r="H202" s="2">
        <v>52.0</v>
      </c>
      <c r="I202" s="3" t="str">
        <f>IFERROR(VLOOKUP($C202,Merchants!$A$1:$D$41,2,FALSE),"Merchant not found")</f>
        <v>Merchant_008</v>
      </c>
      <c r="J202" s="3" t="str">
        <f>IFERROR(VLOOKUP($C202,Merchants!$A$1:$D$41,3,FALSE),"Merchant not found")</f>
        <v>travel</v>
      </c>
      <c r="K202" s="3" t="str">
        <f>IFERROR(VLOOKUP($C202,Merchants!$A$1:$D$41,4,FALSE),"Merchant not found")</f>
        <v>North</v>
      </c>
      <c r="L202" s="3">
        <f>IFERROR(HLOOKUP(F202,Fee_Lookup!$B$1:$E$2,2,FALSE),"Fee not found")</f>
        <v>0.5</v>
      </c>
      <c r="M202" s="3" t="str">
        <f>IF(AND(SUMIF(Transactions!$C$2:$C$548,C202,Transactions!$E$2:$E$548)&gt;5000,K202&lt;&gt;"East"),"High-Value Merchant Day","Normal")</f>
        <v>High-Value Merchant Day</v>
      </c>
    </row>
    <row r="203">
      <c r="A203" s="2" t="s">
        <v>286</v>
      </c>
      <c r="B203" s="2">
        <v>217.0</v>
      </c>
      <c r="C203" s="2">
        <v>4.0</v>
      </c>
      <c r="D203" s="5">
        <v>46034.90833333333</v>
      </c>
      <c r="E203" s="2">
        <v>49.0</v>
      </c>
      <c r="F203" s="2" t="s">
        <v>6</v>
      </c>
      <c r="G203" s="2" t="s">
        <v>36</v>
      </c>
      <c r="H203" s="2">
        <v>36.0</v>
      </c>
      <c r="I203" s="3" t="str">
        <f>IFERROR(VLOOKUP($C203,Merchants!$A$1:$D$41,2,FALSE),"Merchant not found")</f>
        <v>Merchant_004</v>
      </c>
      <c r="J203" s="3" t="str">
        <f>IFERROR(VLOOKUP($C203,Merchants!$A$1:$D$41,3,FALSE),"Merchant not found")</f>
        <v>grocery</v>
      </c>
      <c r="K203" s="3" t="str">
        <f>IFERROR(VLOOKUP($C203,Merchants!$A$1:$D$41,4,FALSE),"Merchant not found")</f>
        <v>West</v>
      </c>
      <c r="L203" s="3">
        <f>IFERROR(HLOOKUP(F203,Fee_Lookup!$B$1:$E$2,2,FALSE),"Fee not found")</f>
        <v>0.5</v>
      </c>
      <c r="M203" s="3" t="str">
        <f>IF(AND(SUMIF(Transactions!$C$2:$C$548,C203,Transactions!$E$2:$E$548)&gt;5000,K203&lt;&gt;"East"),"High-Value Merchant Day","Normal")</f>
        <v>High-Value Merchant Day</v>
      </c>
    </row>
    <row r="204">
      <c r="A204" s="2" t="s">
        <v>287</v>
      </c>
      <c r="B204" s="2">
        <v>54.0</v>
      </c>
      <c r="C204" s="2">
        <v>37.0</v>
      </c>
      <c r="D204" s="5">
        <v>46042.39027777778</v>
      </c>
      <c r="E204" s="2">
        <v>149.0</v>
      </c>
      <c r="F204" s="2" t="s">
        <v>6</v>
      </c>
      <c r="G204" s="2" t="s">
        <v>36</v>
      </c>
      <c r="H204" s="2">
        <v>64.0</v>
      </c>
      <c r="I204" s="3" t="str">
        <f>IFERROR(VLOOKUP($C204,Merchants!$A$1:$D$41,2,FALSE),"Merchant not found")</f>
        <v>Merchant_037</v>
      </c>
      <c r="J204" s="3" t="str">
        <f>IFERROR(VLOOKUP($C204,Merchants!$A$1:$D$41,3,FALSE),"Merchant not found")</f>
        <v>travel</v>
      </c>
      <c r="K204" s="3" t="str">
        <f>IFERROR(VLOOKUP($C204,Merchants!$A$1:$D$41,4,FALSE),"Merchant not found")</f>
        <v>North</v>
      </c>
      <c r="L204" s="3">
        <f>IFERROR(HLOOKUP(F204,Fee_Lookup!$B$1:$E$2,2,FALSE),"Fee not found")</f>
        <v>0.5</v>
      </c>
      <c r="M204" s="3" t="str">
        <f>IF(AND(SUMIF(Transactions!$C$2:$C$548,C204,Transactions!$E$2:$E$548)&gt;5000,K204&lt;&gt;"East"),"High-Value Merchant Day","Normal")</f>
        <v>High-Value Merchant Day</v>
      </c>
    </row>
    <row r="205">
      <c r="A205" s="2" t="s">
        <v>288</v>
      </c>
      <c r="B205" s="2">
        <v>247.0</v>
      </c>
      <c r="C205" s="2">
        <v>15.0</v>
      </c>
      <c r="D205" s="5">
        <v>46029.19583333333</v>
      </c>
      <c r="E205" s="2">
        <v>49.0</v>
      </c>
      <c r="F205" s="2" t="s">
        <v>96</v>
      </c>
      <c r="G205" s="2" t="s">
        <v>36</v>
      </c>
      <c r="H205" s="2">
        <v>13.0</v>
      </c>
      <c r="I205" s="3" t="str">
        <f>IFERROR(VLOOKUP($C205,Merchants!$A$1:$D$41,2,FALSE),"Merchant not found")</f>
        <v>Merchant_015</v>
      </c>
      <c r="J205" s="3" t="str">
        <f>IFERROR(VLOOKUP($C205,Merchants!$A$1:$D$41,3,FALSE),"Merchant not found")</f>
        <v>travel</v>
      </c>
      <c r="K205" s="3" t="str">
        <f>IFERROR(VLOOKUP($C205,Merchants!$A$1:$D$41,4,FALSE),"Merchant not found")</f>
        <v>West</v>
      </c>
      <c r="L205" s="3">
        <f>IFERROR(HLOOKUP(F205,Fee_Lookup!$B$1:$E$2,2,FALSE),"Fee not found")</f>
        <v>1.8</v>
      </c>
      <c r="M205" s="3" t="str">
        <f>IF(AND(SUMIF(Transactions!$C$2:$C$548,C205,Transactions!$E$2:$E$548)&gt;5000,K205&lt;&gt;"East"),"High-Value Merchant Day","Normal")</f>
        <v>High-Value Merchant Day</v>
      </c>
    </row>
    <row r="206">
      <c r="A206" s="2" t="s">
        <v>289</v>
      </c>
      <c r="B206" s="2">
        <v>59.0</v>
      </c>
      <c r="C206" s="2">
        <v>18.0</v>
      </c>
      <c r="D206" s="5">
        <v>46034.72430555556</v>
      </c>
      <c r="E206" s="2">
        <v>49.0</v>
      </c>
      <c r="F206" s="2" t="s">
        <v>96</v>
      </c>
      <c r="G206" s="2" t="s">
        <v>36</v>
      </c>
      <c r="H206" s="2">
        <v>73.0</v>
      </c>
      <c r="I206" s="3" t="str">
        <f>IFERROR(VLOOKUP($C206,Merchants!$A$1:$D$41,2,FALSE),"Merchant not found")</f>
        <v>Merchant_018</v>
      </c>
      <c r="J206" s="3" t="str">
        <f>IFERROR(VLOOKUP($C206,Merchants!$A$1:$D$41,3,FALSE),"Merchant not found")</f>
        <v>grocery</v>
      </c>
      <c r="K206" s="3" t="str">
        <f>IFERROR(VLOOKUP($C206,Merchants!$A$1:$D$41,4,FALSE),"Merchant not found")</f>
        <v>South</v>
      </c>
      <c r="L206" s="3">
        <f>IFERROR(HLOOKUP(F206,Fee_Lookup!$B$1:$E$2,2,FALSE),"Fee not found")</f>
        <v>1.8</v>
      </c>
      <c r="M206" s="3" t="str">
        <f>IF(AND(SUMIF(Transactions!$C$2:$C$548,C206,Transactions!$E$2:$E$548)&gt;5000,K206&lt;&gt;"East"),"High-Value Merchant Day","Normal")</f>
        <v>High-Value Merchant Day</v>
      </c>
    </row>
    <row r="207">
      <c r="A207" s="2" t="s">
        <v>290</v>
      </c>
      <c r="B207" s="2">
        <v>288.0</v>
      </c>
      <c r="C207" s="2">
        <v>40.0</v>
      </c>
      <c r="D207" s="5">
        <v>46030.57916666667</v>
      </c>
      <c r="E207" s="2">
        <v>49.0</v>
      </c>
      <c r="F207" s="2" t="s">
        <v>6</v>
      </c>
      <c r="G207" s="2" t="s">
        <v>64</v>
      </c>
      <c r="H207" s="2">
        <v>78.0</v>
      </c>
      <c r="I207" s="3" t="str">
        <f>IFERROR(VLOOKUP($C207,Merchants!$A$1:$D$41,2,FALSE),"Merchant not found")</f>
        <v>Merchant_040</v>
      </c>
      <c r="J207" s="3" t="str">
        <f>IFERROR(VLOOKUP($C207,Merchants!$A$1:$D$41,3,FALSE),"Merchant not found")</f>
        <v>ecommerce</v>
      </c>
      <c r="K207" s="3" t="str">
        <f>IFERROR(VLOOKUP($C207,Merchants!$A$1:$D$41,4,FALSE),"Merchant not found")</f>
        <v>North</v>
      </c>
      <c r="L207" s="3">
        <f>IFERROR(HLOOKUP(F207,Fee_Lookup!$B$1:$E$2,2,FALSE),"Fee not found")</f>
        <v>0.5</v>
      </c>
      <c r="M207" s="3" t="str">
        <f>IF(AND(SUMIF(Transactions!$C$2:$C$548,C207,Transactions!$E$2:$E$548)&gt;5000,K207&lt;&gt;"East"),"High-Value Merchant Day","Normal")</f>
        <v>High-Value Merchant Day</v>
      </c>
    </row>
    <row r="208">
      <c r="A208" s="2" t="s">
        <v>291</v>
      </c>
      <c r="B208" s="2">
        <v>14.0</v>
      </c>
      <c r="C208" s="2">
        <v>39.0</v>
      </c>
      <c r="D208" s="5">
        <v>46044.85763888889</v>
      </c>
      <c r="E208" s="2">
        <v>799.0</v>
      </c>
      <c r="F208" s="2" t="s">
        <v>6</v>
      </c>
      <c r="G208" s="2" t="s">
        <v>36</v>
      </c>
      <c r="H208" s="2">
        <v>84.0</v>
      </c>
      <c r="I208" s="3" t="str">
        <f>IFERROR(VLOOKUP($C208,Merchants!$A$1:$D$41,2,FALSE),"Merchant not found")</f>
        <v>Merchant_039</v>
      </c>
      <c r="J208" s="3" t="str">
        <f>IFERROR(VLOOKUP($C208,Merchants!$A$1:$D$41,3,FALSE),"Merchant not found")</f>
        <v>grocery</v>
      </c>
      <c r="K208" s="3" t="str">
        <f>IFERROR(VLOOKUP($C208,Merchants!$A$1:$D$41,4,FALSE),"Merchant not found")</f>
        <v>South</v>
      </c>
      <c r="L208" s="3">
        <f>IFERROR(HLOOKUP(F208,Fee_Lookup!$B$1:$E$2,2,FALSE),"Fee not found")</f>
        <v>0.5</v>
      </c>
      <c r="M208" s="3" t="str">
        <f>IF(AND(SUMIF(Transactions!$C$2:$C$548,C208,Transactions!$E$2:$E$548)&gt;5000,K208&lt;&gt;"East"),"High-Value Merchant Day","Normal")</f>
        <v>High-Value Merchant Day</v>
      </c>
    </row>
    <row r="209">
      <c r="A209" s="2" t="s">
        <v>292</v>
      </c>
      <c r="B209" s="2">
        <v>15.0</v>
      </c>
      <c r="C209" s="2">
        <v>12.0</v>
      </c>
      <c r="D209" s="5">
        <v>46049.92847222222</v>
      </c>
      <c r="E209" s="2">
        <v>149.0</v>
      </c>
      <c r="F209" s="2" t="s">
        <v>6</v>
      </c>
      <c r="G209" s="2" t="s">
        <v>36</v>
      </c>
      <c r="H209" s="2">
        <v>34.0</v>
      </c>
      <c r="I209" s="3" t="str">
        <f>IFERROR(VLOOKUP($C209,Merchants!$A$1:$D$41,2,FALSE),"Merchant not found")</f>
        <v>Merchant_012</v>
      </c>
      <c r="J209" s="3" t="str">
        <f>IFERROR(VLOOKUP($C209,Merchants!$A$1:$D$41,3,FALSE),"Merchant not found")</f>
        <v>food_delivery</v>
      </c>
      <c r="K209" s="3" t="str">
        <f>IFERROR(VLOOKUP($C209,Merchants!$A$1:$D$41,4,FALSE),"Merchant not found")</f>
        <v>South</v>
      </c>
      <c r="L209" s="3">
        <f>IFERROR(HLOOKUP(F209,Fee_Lookup!$B$1:$E$2,2,FALSE),"Fee not found")</f>
        <v>0.5</v>
      </c>
      <c r="M209" s="3" t="str">
        <f>IF(AND(SUMIF(Transactions!$C$2:$C$548,C209,Transactions!$E$2:$E$548)&gt;5000,K209&lt;&gt;"East"),"High-Value Merchant Day","Normal")</f>
        <v>High-Value Merchant Day</v>
      </c>
    </row>
    <row r="210">
      <c r="A210" s="2" t="s">
        <v>293</v>
      </c>
      <c r="B210" s="2">
        <v>174.0</v>
      </c>
      <c r="C210" s="2">
        <v>23.0</v>
      </c>
      <c r="D210" s="5">
        <v>46045.41527777778</v>
      </c>
      <c r="E210" s="2">
        <v>149.0</v>
      </c>
      <c r="F210" s="2" t="s">
        <v>6</v>
      </c>
      <c r="G210" s="2" t="s">
        <v>36</v>
      </c>
      <c r="H210" s="2">
        <v>0.0</v>
      </c>
      <c r="I210" s="3" t="str">
        <f>IFERROR(VLOOKUP($C210,Merchants!$A$1:$D$41,2,FALSE),"Merchant not found")</f>
        <v>Merchant_023</v>
      </c>
      <c r="J210" s="3" t="str">
        <f>IFERROR(VLOOKUP($C210,Merchants!$A$1:$D$41,3,FALSE),"Merchant not found")</f>
        <v>travel</v>
      </c>
      <c r="K210" s="3" t="str">
        <f>IFERROR(VLOOKUP($C210,Merchants!$A$1:$D$41,4,FALSE),"Merchant not found")</f>
        <v>South</v>
      </c>
      <c r="L210" s="3">
        <f>IFERROR(HLOOKUP(F210,Fee_Lookup!$B$1:$E$2,2,FALSE),"Fee not found")</f>
        <v>0.5</v>
      </c>
      <c r="M210" s="3" t="str">
        <f>IF(AND(SUMIF(Transactions!$C$2:$C$548,C210,Transactions!$E$2:$E$548)&gt;5000,K210&lt;&gt;"East"),"High-Value Merchant Day","Normal")</f>
        <v>Normal</v>
      </c>
    </row>
    <row r="211">
      <c r="A211" s="2" t="s">
        <v>294</v>
      </c>
      <c r="B211" s="2">
        <v>337.0</v>
      </c>
      <c r="C211" s="2">
        <v>26.0</v>
      </c>
      <c r="D211" s="5">
        <v>46028.191666666666</v>
      </c>
      <c r="E211" s="2">
        <v>49.0</v>
      </c>
      <c r="F211" s="2" t="s">
        <v>6</v>
      </c>
      <c r="G211" s="2" t="s">
        <v>36</v>
      </c>
      <c r="H211" s="2">
        <v>8.0</v>
      </c>
      <c r="I211" s="3" t="str">
        <f>IFERROR(VLOOKUP($C211,Merchants!$A$1:$D$41,2,FALSE),"Merchant not found")</f>
        <v>Merchant_026</v>
      </c>
      <c r="J211" s="3" t="str">
        <f>IFERROR(VLOOKUP($C211,Merchants!$A$1:$D$41,3,FALSE),"Merchant not found")</f>
        <v>entertainment</v>
      </c>
      <c r="K211" s="3" t="str">
        <f>IFERROR(VLOOKUP($C211,Merchants!$A$1:$D$41,4,FALSE),"Merchant not found")</f>
        <v>West</v>
      </c>
      <c r="L211" s="3">
        <f>IFERROR(HLOOKUP(F211,Fee_Lookup!$B$1:$E$2,2,FALSE),"Fee not found")</f>
        <v>0.5</v>
      </c>
      <c r="M211" s="3" t="str">
        <f>IF(AND(SUMIF(Transactions!$C$2:$C$548,C211,Transactions!$E$2:$E$548)&gt;5000,K211&lt;&gt;"East"),"High-Value Merchant Day","Normal")</f>
        <v>High-Value Merchant Day</v>
      </c>
    </row>
    <row r="212">
      <c r="A212" s="2" t="s">
        <v>295</v>
      </c>
      <c r="B212" s="2">
        <v>16.0</v>
      </c>
      <c r="C212" s="2">
        <v>6.0</v>
      </c>
      <c r="D212" s="5">
        <v>46027.98611111111</v>
      </c>
      <c r="E212" s="2">
        <v>1499.0</v>
      </c>
      <c r="F212" s="2" t="s">
        <v>6</v>
      </c>
      <c r="G212" s="2" t="s">
        <v>36</v>
      </c>
      <c r="H212" s="2">
        <v>95.0</v>
      </c>
      <c r="I212" s="3" t="str">
        <f>IFERROR(VLOOKUP($C212,Merchants!$A$1:$D$41,2,FALSE),"Merchant not found")</f>
        <v>Merchant_006</v>
      </c>
      <c r="J212" s="3" t="str">
        <f>IFERROR(VLOOKUP($C212,Merchants!$A$1:$D$41,3,FALSE),"Merchant not found")</f>
        <v>entertainment</v>
      </c>
      <c r="K212" s="3" t="str">
        <f>IFERROR(VLOOKUP($C212,Merchants!$A$1:$D$41,4,FALSE),"Merchant not found")</f>
        <v>South</v>
      </c>
      <c r="L212" s="3">
        <f>IFERROR(HLOOKUP(F212,Fee_Lookup!$B$1:$E$2,2,FALSE),"Fee not found")</f>
        <v>0.5</v>
      </c>
      <c r="M212" s="3" t="str">
        <f>IF(AND(SUMIF(Transactions!$C$2:$C$548,C212,Transactions!$E$2:$E$548)&gt;5000,K212&lt;&gt;"East"),"High-Value Merchant Day","Normal")</f>
        <v>High-Value Merchant Day</v>
      </c>
    </row>
    <row r="213">
      <c r="A213" s="2" t="s">
        <v>296</v>
      </c>
      <c r="B213" s="2">
        <v>215.0</v>
      </c>
      <c r="C213" s="2">
        <v>30.0</v>
      </c>
      <c r="D213" s="5">
        <v>46039.26666666667</v>
      </c>
      <c r="E213" s="2">
        <v>49.0</v>
      </c>
      <c r="F213" s="2" t="s">
        <v>6</v>
      </c>
      <c r="G213" s="2" t="s">
        <v>36</v>
      </c>
      <c r="H213" s="2">
        <v>43.0</v>
      </c>
      <c r="I213" s="3" t="str">
        <f>IFERROR(VLOOKUP($C213,Merchants!$A$1:$D$41,2,FALSE),"Merchant not found")</f>
        <v>Merchant_030</v>
      </c>
      <c r="J213" s="3" t="str">
        <f>IFERROR(VLOOKUP($C213,Merchants!$A$1:$D$41,3,FALSE),"Merchant not found")</f>
        <v>travel</v>
      </c>
      <c r="K213" s="3" t="str">
        <f>IFERROR(VLOOKUP($C213,Merchants!$A$1:$D$41,4,FALSE),"Merchant not found")</f>
        <v>West</v>
      </c>
      <c r="L213" s="3">
        <f>IFERROR(HLOOKUP(F213,Fee_Lookup!$B$1:$E$2,2,FALSE),"Fee not found")</f>
        <v>0.5</v>
      </c>
      <c r="M213" s="3" t="str">
        <f>IF(AND(SUMIF(Transactions!$C$2:$C$548,C213,Transactions!$E$2:$E$548)&gt;5000,K213&lt;&gt;"East"),"High-Value Merchant Day","Normal")</f>
        <v>High-Value Merchant Day</v>
      </c>
    </row>
    <row r="214">
      <c r="A214" s="2" t="s">
        <v>297</v>
      </c>
      <c r="B214" s="2">
        <v>167.0</v>
      </c>
      <c r="C214" s="2">
        <v>37.0</v>
      </c>
      <c r="D214" s="5">
        <v>46028.47152777778</v>
      </c>
      <c r="E214" s="2">
        <v>99.0</v>
      </c>
      <c r="F214" s="2" t="s">
        <v>6</v>
      </c>
      <c r="G214" s="2" t="s">
        <v>36</v>
      </c>
      <c r="H214" s="2">
        <v>76.0</v>
      </c>
      <c r="I214" s="3" t="str">
        <f>IFERROR(VLOOKUP($C214,Merchants!$A$1:$D$41,2,FALSE),"Merchant not found")</f>
        <v>Merchant_037</v>
      </c>
      <c r="J214" s="3" t="str">
        <f>IFERROR(VLOOKUP($C214,Merchants!$A$1:$D$41,3,FALSE),"Merchant not found")</f>
        <v>travel</v>
      </c>
      <c r="K214" s="3" t="str">
        <f>IFERROR(VLOOKUP($C214,Merchants!$A$1:$D$41,4,FALSE),"Merchant not found")</f>
        <v>North</v>
      </c>
      <c r="L214" s="3">
        <f>IFERROR(HLOOKUP(F214,Fee_Lookup!$B$1:$E$2,2,FALSE),"Fee not found")</f>
        <v>0.5</v>
      </c>
      <c r="M214" s="3" t="str">
        <f>IF(AND(SUMIF(Transactions!$C$2:$C$548,C214,Transactions!$E$2:$E$548)&gt;5000,K214&lt;&gt;"East"),"High-Value Merchant Day","Normal")</f>
        <v>High-Value Merchant Day</v>
      </c>
    </row>
    <row r="215">
      <c r="A215" s="2" t="s">
        <v>298</v>
      </c>
      <c r="B215" s="2">
        <v>81.0</v>
      </c>
      <c r="C215" s="2">
        <v>40.0</v>
      </c>
      <c r="D215" s="5">
        <v>46025.04791666667</v>
      </c>
      <c r="E215" s="2">
        <v>49.0</v>
      </c>
      <c r="F215" s="2" t="s">
        <v>6</v>
      </c>
      <c r="G215" s="2" t="s">
        <v>36</v>
      </c>
      <c r="H215" s="2">
        <v>6.0</v>
      </c>
      <c r="I215" s="3" t="str">
        <f>IFERROR(VLOOKUP($C215,Merchants!$A$1:$D$41,2,FALSE),"Merchant not found")</f>
        <v>Merchant_040</v>
      </c>
      <c r="J215" s="3" t="str">
        <f>IFERROR(VLOOKUP($C215,Merchants!$A$1:$D$41,3,FALSE),"Merchant not found")</f>
        <v>ecommerce</v>
      </c>
      <c r="K215" s="3" t="str">
        <f>IFERROR(VLOOKUP($C215,Merchants!$A$1:$D$41,4,FALSE),"Merchant not found")</f>
        <v>North</v>
      </c>
      <c r="L215" s="3">
        <f>IFERROR(HLOOKUP(F215,Fee_Lookup!$B$1:$E$2,2,FALSE),"Fee not found")</f>
        <v>0.5</v>
      </c>
      <c r="M215" s="3" t="str">
        <f>IF(AND(SUMIF(Transactions!$C$2:$C$548,C215,Transactions!$E$2:$E$548)&gt;5000,K215&lt;&gt;"East"),"High-Value Merchant Day","Normal")</f>
        <v>High-Value Merchant Day</v>
      </c>
    </row>
    <row r="216">
      <c r="A216" s="2" t="s">
        <v>299</v>
      </c>
      <c r="B216" s="2">
        <v>227.0</v>
      </c>
      <c r="C216" s="2">
        <v>28.0</v>
      </c>
      <c r="D216" s="5">
        <v>46044.095138888886</v>
      </c>
      <c r="E216" s="2">
        <v>99.0</v>
      </c>
      <c r="F216" s="2" t="s">
        <v>6</v>
      </c>
      <c r="G216" s="2" t="s">
        <v>36</v>
      </c>
      <c r="H216" s="2">
        <v>62.0</v>
      </c>
      <c r="I216" s="3" t="str">
        <f>IFERROR(VLOOKUP($C216,Merchants!$A$1:$D$41,2,FALSE),"Merchant not found")</f>
        <v>Merchant_028</v>
      </c>
      <c r="J216" s="3" t="str">
        <f>IFERROR(VLOOKUP($C216,Merchants!$A$1:$D$41,3,FALSE),"Merchant not found")</f>
        <v>food_delivery</v>
      </c>
      <c r="K216" s="3" t="str">
        <f>IFERROR(VLOOKUP($C216,Merchants!$A$1:$D$41,4,FALSE),"Merchant not found")</f>
        <v>East</v>
      </c>
      <c r="L216" s="3">
        <f>IFERROR(HLOOKUP(F216,Fee_Lookup!$B$1:$E$2,2,FALSE),"Fee not found")</f>
        <v>0.5</v>
      </c>
      <c r="M216" s="3" t="str">
        <f>IF(AND(SUMIF(Transactions!$C$2:$C$548,C216,Transactions!$E$2:$E$548)&gt;5000,K216&lt;&gt;"East"),"High-Value Merchant Day","Normal")</f>
        <v>Normal</v>
      </c>
    </row>
    <row r="217">
      <c r="A217" s="2" t="s">
        <v>300</v>
      </c>
      <c r="B217" s="2">
        <v>140.0</v>
      </c>
      <c r="C217" s="2">
        <v>14.0</v>
      </c>
      <c r="D217" s="5">
        <v>46042.60138888889</v>
      </c>
      <c r="E217" s="2">
        <v>299.0</v>
      </c>
      <c r="F217" s="2" t="s">
        <v>35</v>
      </c>
      <c r="G217" s="2" t="s">
        <v>36</v>
      </c>
      <c r="H217" s="2">
        <v>96.0</v>
      </c>
      <c r="I217" s="3" t="str">
        <f>IFERROR(VLOOKUP($C217,Merchants!$A$1:$D$41,2,FALSE),"Merchant not found")</f>
        <v>Merchant_014</v>
      </c>
      <c r="J217" s="3" t="str">
        <f>IFERROR(VLOOKUP($C217,Merchants!$A$1:$D$41,3,FALSE),"Merchant not found")</f>
        <v>grocery</v>
      </c>
      <c r="K217" s="3" t="str">
        <f>IFERROR(VLOOKUP($C217,Merchants!$A$1:$D$41,4,FALSE),"Merchant not found")</f>
        <v>South</v>
      </c>
      <c r="L217" s="3">
        <f>IFERROR(HLOOKUP(F217,Fee_Lookup!$B$1:$E$2,2,FALSE),"Fee not found")</f>
        <v>1</v>
      </c>
      <c r="M217" s="3" t="str">
        <f>IF(AND(SUMIF(Transactions!$C$2:$C$548,C217,Transactions!$E$2:$E$548)&gt;5000,K217&lt;&gt;"East"),"High-Value Merchant Day","Normal")</f>
        <v>High-Value Merchant Day</v>
      </c>
    </row>
    <row r="218">
      <c r="A218" s="2" t="s">
        <v>301</v>
      </c>
      <c r="B218" s="2">
        <v>221.0</v>
      </c>
      <c r="C218" s="2">
        <v>8.0</v>
      </c>
      <c r="D218" s="5">
        <v>46039.14027777778</v>
      </c>
      <c r="E218" s="2">
        <v>299.0</v>
      </c>
      <c r="F218" s="2" t="s">
        <v>6</v>
      </c>
      <c r="G218" s="2" t="s">
        <v>36</v>
      </c>
      <c r="H218" s="2">
        <v>36.0</v>
      </c>
      <c r="I218" s="3" t="str">
        <f>IFERROR(VLOOKUP($C218,Merchants!$A$1:$D$41,2,FALSE),"Merchant not found")</f>
        <v>Merchant_008</v>
      </c>
      <c r="J218" s="3" t="str">
        <f>IFERROR(VLOOKUP($C218,Merchants!$A$1:$D$41,3,FALSE),"Merchant not found")</f>
        <v>travel</v>
      </c>
      <c r="K218" s="3" t="str">
        <f>IFERROR(VLOOKUP($C218,Merchants!$A$1:$D$41,4,FALSE),"Merchant not found")</f>
        <v>North</v>
      </c>
      <c r="L218" s="3">
        <f>IFERROR(HLOOKUP(F218,Fee_Lookup!$B$1:$E$2,2,FALSE),"Fee not found")</f>
        <v>0.5</v>
      </c>
      <c r="M218" s="3" t="str">
        <f>IF(AND(SUMIF(Transactions!$C$2:$C$548,C218,Transactions!$E$2:$E$548)&gt;5000,K218&lt;&gt;"East"),"High-Value Merchant Day","Normal")</f>
        <v>High-Value Merchant Day</v>
      </c>
    </row>
    <row r="219">
      <c r="A219" s="2" t="s">
        <v>302</v>
      </c>
      <c r="B219" s="2">
        <v>250.0</v>
      </c>
      <c r="C219" s="2">
        <v>34.0</v>
      </c>
      <c r="D219" s="5">
        <v>46044.90069444444</v>
      </c>
      <c r="E219" s="2">
        <v>299.0</v>
      </c>
      <c r="F219" s="2" t="s">
        <v>35</v>
      </c>
      <c r="G219" s="2" t="s">
        <v>36</v>
      </c>
      <c r="H219" s="2">
        <v>85.0</v>
      </c>
      <c r="I219" s="3" t="str">
        <f>IFERROR(VLOOKUP($C219,Merchants!$A$1:$D$41,2,FALSE),"Merchant not found")</f>
        <v>Merchant_034</v>
      </c>
      <c r="J219" s="3" t="str">
        <f>IFERROR(VLOOKUP($C219,Merchants!$A$1:$D$41,3,FALSE),"Merchant not found")</f>
        <v>recharge</v>
      </c>
      <c r="K219" s="3" t="str">
        <f>IFERROR(VLOOKUP($C219,Merchants!$A$1:$D$41,4,FALSE),"Merchant not found")</f>
        <v>West</v>
      </c>
      <c r="L219" s="3">
        <f>IFERROR(HLOOKUP(F219,Fee_Lookup!$B$1:$E$2,2,FALSE),"Fee not found")</f>
        <v>1</v>
      </c>
      <c r="M219" s="3" t="str">
        <f>IF(AND(SUMIF(Transactions!$C$2:$C$548,C219,Transactions!$E$2:$E$548)&gt;5000,K219&lt;&gt;"East"),"High-Value Merchant Day","Normal")</f>
        <v>High-Value Merchant Day</v>
      </c>
    </row>
    <row r="220">
      <c r="A220" s="2" t="s">
        <v>303</v>
      </c>
      <c r="B220" s="2">
        <v>203.0</v>
      </c>
      <c r="C220" s="2">
        <v>39.0</v>
      </c>
      <c r="D220" s="5">
        <v>46032.05138888889</v>
      </c>
      <c r="E220" s="2">
        <v>49.0</v>
      </c>
      <c r="F220" s="2" t="s">
        <v>6</v>
      </c>
      <c r="G220" s="2" t="s">
        <v>36</v>
      </c>
      <c r="H220" s="2">
        <v>7.0</v>
      </c>
      <c r="I220" s="3" t="str">
        <f>IFERROR(VLOOKUP($C220,Merchants!$A$1:$D$41,2,FALSE),"Merchant not found")</f>
        <v>Merchant_039</v>
      </c>
      <c r="J220" s="3" t="str">
        <f>IFERROR(VLOOKUP($C220,Merchants!$A$1:$D$41,3,FALSE),"Merchant not found")</f>
        <v>grocery</v>
      </c>
      <c r="K220" s="3" t="str">
        <f>IFERROR(VLOOKUP($C220,Merchants!$A$1:$D$41,4,FALSE),"Merchant not found")</f>
        <v>South</v>
      </c>
      <c r="L220" s="3">
        <f>IFERROR(HLOOKUP(F220,Fee_Lookup!$B$1:$E$2,2,FALSE),"Fee not found")</f>
        <v>0.5</v>
      </c>
      <c r="M220" s="3" t="str">
        <f>IF(AND(SUMIF(Transactions!$C$2:$C$548,C220,Transactions!$E$2:$E$548)&gt;5000,K220&lt;&gt;"East"),"High-Value Merchant Day","Normal")</f>
        <v>High-Value Merchant Day</v>
      </c>
    </row>
    <row r="221">
      <c r="A221" s="2" t="s">
        <v>304</v>
      </c>
      <c r="B221" s="2">
        <v>109.0</v>
      </c>
      <c r="C221" s="2">
        <v>9.0</v>
      </c>
      <c r="D221" s="5">
        <v>46023.263194444444</v>
      </c>
      <c r="E221" s="2">
        <v>499.0</v>
      </c>
      <c r="F221" s="2" t="s">
        <v>35</v>
      </c>
      <c r="G221" s="2" t="s">
        <v>36</v>
      </c>
      <c r="H221" s="2">
        <v>97.0</v>
      </c>
      <c r="I221" s="3" t="str">
        <f>IFERROR(VLOOKUP($C221,Merchants!$A$1:$D$41,2,FALSE),"Merchant not found")</f>
        <v>Merchant_009</v>
      </c>
      <c r="J221" s="3" t="str">
        <f>IFERROR(VLOOKUP($C221,Merchants!$A$1:$D$41,3,FALSE),"Merchant not found")</f>
        <v>entertainment</v>
      </c>
      <c r="K221" s="3" t="str">
        <f>IFERROR(VLOOKUP($C221,Merchants!$A$1:$D$41,4,FALSE),"Merchant not found")</f>
        <v>West</v>
      </c>
      <c r="L221" s="3">
        <f>IFERROR(HLOOKUP(F221,Fee_Lookup!$B$1:$E$2,2,FALSE),"Fee not found")</f>
        <v>1</v>
      </c>
      <c r="M221" s="3" t="str">
        <f>IF(AND(SUMIF(Transactions!$C$2:$C$548,C221,Transactions!$E$2:$E$548)&gt;5000,K221&lt;&gt;"East"),"High-Value Merchant Day","Normal")</f>
        <v>Normal</v>
      </c>
    </row>
    <row r="222">
      <c r="A222" s="2" t="s">
        <v>305</v>
      </c>
      <c r="B222" s="2">
        <v>62.0</v>
      </c>
      <c r="C222" s="2">
        <v>1.0</v>
      </c>
      <c r="D222" s="5">
        <v>46031.38888888889</v>
      </c>
      <c r="E222" s="2">
        <v>4999.0</v>
      </c>
      <c r="F222" s="2" t="s">
        <v>35</v>
      </c>
      <c r="G222" s="2" t="s">
        <v>36</v>
      </c>
      <c r="H222" s="2">
        <v>63.0</v>
      </c>
      <c r="I222" s="3" t="str">
        <f>IFERROR(VLOOKUP($C222,Merchants!$A$1:$D$41,2,FALSE),"Merchant not found")</f>
        <v>Merchant_001</v>
      </c>
      <c r="J222" s="3" t="str">
        <f>IFERROR(VLOOKUP($C222,Merchants!$A$1:$D$41,3,FALSE),"Merchant not found")</f>
        <v>entertainment</v>
      </c>
      <c r="K222" s="3" t="str">
        <f>IFERROR(VLOOKUP($C222,Merchants!$A$1:$D$41,4,FALSE),"Merchant not found")</f>
        <v>West</v>
      </c>
      <c r="L222" s="3">
        <f>IFERROR(HLOOKUP(F222,Fee_Lookup!$B$1:$E$2,2,FALSE),"Fee not found")</f>
        <v>1</v>
      </c>
      <c r="M222" s="3" t="str">
        <f>IF(AND(SUMIF(Transactions!$C$2:$C$548,C222,Transactions!$E$2:$E$548)&gt;5000,K222&lt;&gt;"East"),"High-Value Merchant Day","Normal")</f>
        <v>High-Value Merchant Day</v>
      </c>
    </row>
    <row r="223">
      <c r="A223" s="2" t="s">
        <v>306</v>
      </c>
      <c r="B223" s="2">
        <v>67.0</v>
      </c>
      <c r="C223" s="2">
        <v>25.0</v>
      </c>
      <c r="D223" s="5">
        <v>46046.549305555556</v>
      </c>
      <c r="E223" s="2">
        <v>49.0</v>
      </c>
      <c r="F223" s="2" t="s">
        <v>6</v>
      </c>
      <c r="G223" s="2" t="s">
        <v>36</v>
      </c>
      <c r="H223" s="2">
        <v>68.0</v>
      </c>
      <c r="I223" s="3" t="str">
        <f>IFERROR(VLOOKUP($C223,Merchants!$A$1:$D$41,2,FALSE),"Merchant not found")</f>
        <v>Merchant_025</v>
      </c>
      <c r="J223" s="3" t="str">
        <f>IFERROR(VLOOKUP($C223,Merchants!$A$1:$D$41,3,FALSE),"Merchant not found")</f>
        <v>grocery</v>
      </c>
      <c r="K223" s="3" t="str">
        <f>IFERROR(VLOOKUP($C223,Merchants!$A$1:$D$41,4,FALSE),"Merchant not found")</f>
        <v>East</v>
      </c>
      <c r="L223" s="3">
        <f>IFERROR(HLOOKUP(F223,Fee_Lookup!$B$1:$E$2,2,FALSE),"Fee not found")</f>
        <v>0.5</v>
      </c>
      <c r="M223" s="3" t="str">
        <f>IF(AND(SUMIF(Transactions!$C$2:$C$548,C223,Transactions!$E$2:$E$548)&gt;5000,K223&lt;&gt;"East"),"High-Value Merchant Day","Normal")</f>
        <v>Normal</v>
      </c>
    </row>
    <row r="224">
      <c r="A224" s="2" t="s">
        <v>307</v>
      </c>
      <c r="B224" s="2">
        <v>287.0</v>
      </c>
      <c r="C224" s="2">
        <v>23.0</v>
      </c>
      <c r="D224" s="5">
        <v>46045.313888888886</v>
      </c>
      <c r="E224" s="2">
        <v>49.0</v>
      </c>
      <c r="F224" s="2" t="s">
        <v>6</v>
      </c>
      <c r="G224" s="2" t="s">
        <v>36</v>
      </c>
      <c r="H224" s="2">
        <v>9.0</v>
      </c>
      <c r="I224" s="3" t="str">
        <f>IFERROR(VLOOKUP($C224,Merchants!$A$1:$D$41,2,FALSE),"Merchant not found")</f>
        <v>Merchant_023</v>
      </c>
      <c r="J224" s="3" t="str">
        <f>IFERROR(VLOOKUP($C224,Merchants!$A$1:$D$41,3,FALSE),"Merchant not found")</f>
        <v>travel</v>
      </c>
      <c r="K224" s="3" t="str">
        <f>IFERROR(VLOOKUP($C224,Merchants!$A$1:$D$41,4,FALSE),"Merchant not found")</f>
        <v>South</v>
      </c>
      <c r="L224" s="3">
        <f>IFERROR(HLOOKUP(F224,Fee_Lookup!$B$1:$E$2,2,FALSE),"Fee not found")</f>
        <v>0.5</v>
      </c>
      <c r="M224" s="3" t="str">
        <f>IF(AND(SUMIF(Transactions!$C$2:$C$548,C224,Transactions!$E$2:$E$548)&gt;5000,K224&lt;&gt;"East"),"High-Value Merchant Day","Normal")</f>
        <v>Normal</v>
      </c>
    </row>
    <row r="225">
      <c r="A225" s="2" t="s">
        <v>308</v>
      </c>
      <c r="B225" s="2">
        <v>224.0</v>
      </c>
      <c r="C225" s="2">
        <v>2.0</v>
      </c>
      <c r="D225" s="5">
        <v>46035.95972222222</v>
      </c>
      <c r="E225" s="2">
        <v>49.0</v>
      </c>
      <c r="F225" s="2" t="s">
        <v>96</v>
      </c>
      <c r="G225" s="2" t="s">
        <v>36</v>
      </c>
      <c r="H225" s="2">
        <v>58.0</v>
      </c>
      <c r="I225" s="3" t="str">
        <f>IFERROR(VLOOKUP($C225,Merchants!$A$1:$D$41,2,FALSE),"Merchant not found")</f>
        <v>Merchant_002</v>
      </c>
      <c r="J225" s="3" t="str">
        <f>IFERROR(VLOOKUP($C225,Merchants!$A$1:$D$41,3,FALSE),"Merchant not found")</f>
        <v>recharge</v>
      </c>
      <c r="K225" s="3" t="str">
        <f>IFERROR(VLOOKUP($C225,Merchants!$A$1:$D$41,4,FALSE),"Merchant not found")</f>
        <v>South</v>
      </c>
      <c r="L225" s="3">
        <f>IFERROR(HLOOKUP(F225,Fee_Lookup!$B$1:$E$2,2,FALSE),"Fee not found")</f>
        <v>1.8</v>
      </c>
      <c r="M225" s="3" t="str">
        <f>IF(AND(SUMIF(Transactions!$C$2:$C$548,C225,Transactions!$E$2:$E$548)&gt;5000,K225&lt;&gt;"East"),"High-Value Merchant Day","Normal")</f>
        <v>Normal</v>
      </c>
    </row>
    <row r="226">
      <c r="A226" s="2" t="s">
        <v>309</v>
      </c>
      <c r="B226" s="2">
        <v>161.0</v>
      </c>
      <c r="C226" s="2">
        <v>37.0</v>
      </c>
      <c r="D226" s="5">
        <v>46052.12152777778</v>
      </c>
      <c r="E226" s="2">
        <v>299.0</v>
      </c>
      <c r="F226" s="2" t="s">
        <v>6</v>
      </c>
      <c r="G226" s="2" t="s">
        <v>36</v>
      </c>
      <c r="H226" s="2">
        <v>54.0</v>
      </c>
      <c r="I226" s="3" t="str">
        <f>IFERROR(VLOOKUP($C226,Merchants!$A$1:$D$41,2,FALSE),"Merchant not found")</f>
        <v>Merchant_037</v>
      </c>
      <c r="J226" s="3" t="str">
        <f>IFERROR(VLOOKUP($C226,Merchants!$A$1:$D$41,3,FALSE),"Merchant not found")</f>
        <v>travel</v>
      </c>
      <c r="K226" s="3" t="str">
        <f>IFERROR(VLOOKUP($C226,Merchants!$A$1:$D$41,4,FALSE),"Merchant not found")</f>
        <v>North</v>
      </c>
      <c r="L226" s="3">
        <f>IFERROR(HLOOKUP(F226,Fee_Lookup!$B$1:$E$2,2,FALSE),"Fee not found")</f>
        <v>0.5</v>
      </c>
      <c r="M226" s="3" t="str">
        <f>IF(AND(SUMIF(Transactions!$C$2:$C$548,C226,Transactions!$E$2:$E$548)&gt;5000,K226&lt;&gt;"East"),"High-Value Merchant Day","Normal")</f>
        <v>High-Value Merchant Day</v>
      </c>
    </row>
    <row r="227">
      <c r="A227" s="2" t="s">
        <v>310</v>
      </c>
      <c r="B227" s="2">
        <v>328.0</v>
      </c>
      <c r="C227" s="2">
        <v>27.0</v>
      </c>
      <c r="D227" s="5">
        <v>46041.53125</v>
      </c>
      <c r="E227" s="2">
        <v>49.0</v>
      </c>
      <c r="F227" s="2" t="s">
        <v>6</v>
      </c>
      <c r="G227" s="2" t="s">
        <v>62</v>
      </c>
      <c r="H227" s="2">
        <v>37.0</v>
      </c>
      <c r="I227" s="3" t="str">
        <f>IFERROR(VLOOKUP($C227,Merchants!$A$1:$D$41,2,FALSE),"Merchant not found")</f>
        <v>Merchant_027</v>
      </c>
      <c r="J227" s="3" t="str">
        <f>IFERROR(VLOOKUP($C227,Merchants!$A$1:$D$41,3,FALSE),"Merchant not found")</f>
        <v>recharge</v>
      </c>
      <c r="K227" s="3" t="str">
        <f>IFERROR(VLOOKUP($C227,Merchants!$A$1:$D$41,4,FALSE),"Merchant not found")</f>
        <v>South</v>
      </c>
      <c r="L227" s="3">
        <f>IFERROR(HLOOKUP(F227,Fee_Lookup!$B$1:$E$2,2,FALSE),"Fee not found")</f>
        <v>0.5</v>
      </c>
      <c r="M227" s="3" t="str">
        <f>IF(AND(SUMIF(Transactions!$C$2:$C$548,C227,Transactions!$E$2:$E$548)&gt;5000,K227&lt;&gt;"East"),"High-Value Merchant Day","Normal")</f>
        <v>High-Value Merchant Day</v>
      </c>
    </row>
    <row r="228">
      <c r="A228" s="2" t="s">
        <v>311</v>
      </c>
      <c r="B228" s="2">
        <v>167.0</v>
      </c>
      <c r="C228" s="2">
        <v>11.0</v>
      </c>
      <c r="D228" s="5">
        <v>46026.50069444445</v>
      </c>
      <c r="E228" s="2">
        <v>1499.0</v>
      </c>
      <c r="F228" s="2" t="s">
        <v>96</v>
      </c>
      <c r="G228" s="2" t="s">
        <v>64</v>
      </c>
      <c r="H228" s="2">
        <v>79.0</v>
      </c>
      <c r="I228" s="3" t="str">
        <f>IFERROR(VLOOKUP($C228,Merchants!$A$1:$D$41,2,FALSE),"Merchant not found")</f>
        <v>Merchant_011</v>
      </c>
      <c r="J228" s="3" t="str">
        <f>IFERROR(VLOOKUP($C228,Merchants!$A$1:$D$41,3,FALSE),"Merchant not found")</f>
        <v>recharge</v>
      </c>
      <c r="K228" s="3" t="str">
        <f>IFERROR(VLOOKUP($C228,Merchants!$A$1:$D$41,4,FALSE),"Merchant not found")</f>
        <v>West</v>
      </c>
      <c r="L228" s="3">
        <f>IFERROR(HLOOKUP(F228,Fee_Lookup!$B$1:$E$2,2,FALSE),"Fee not found")</f>
        <v>1.8</v>
      </c>
      <c r="M228" s="3" t="str">
        <f>IF(AND(SUMIF(Transactions!$C$2:$C$548,C228,Transactions!$E$2:$E$548)&gt;5000,K228&lt;&gt;"East"),"High-Value Merchant Day","Normal")</f>
        <v>High-Value Merchant Day</v>
      </c>
    </row>
    <row r="229">
      <c r="A229" s="2" t="s">
        <v>312</v>
      </c>
      <c r="B229" s="2">
        <v>186.0</v>
      </c>
      <c r="C229" s="2">
        <v>6.0</v>
      </c>
      <c r="D229" s="5">
        <v>46037.95694444444</v>
      </c>
      <c r="E229" s="2">
        <v>49.0</v>
      </c>
      <c r="F229" s="2" t="s">
        <v>35</v>
      </c>
      <c r="G229" s="2" t="s">
        <v>36</v>
      </c>
      <c r="H229" s="2">
        <v>55.0</v>
      </c>
      <c r="I229" s="3" t="str">
        <f>IFERROR(VLOOKUP($C229,Merchants!$A$1:$D$41,2,FALSE),"Merchant not found")</f>
        <v>Merchant_006</v>
      </c>
      <c r="J229" s="3" t="str">
        <f>IFERROR(VLOOKUP($C229,Merchants!$A$1:$D$41,3,FALSE),"Merchant not found")</f>
        <v>entertainment</v>
      </c>
      <c r="K229" s="3" t="str">
        <f>IFERROR(VLOOKUP($C229,Merchants!$A$1:$D$41,4,FALSE),"Merchant not found")</f>
        <v>South</v>
      </c>
      <c r="L229" s="3">
        <f>IFERROR(HLOOKUP(F229,Fee_Lookup!$B$1:$E$2,2,FALSE),"Fee not found")</f>
        <v>1</v>
      </c>
      <c r="M229" s="3" t="str">
        <f>IF(AND(SUMIF(Transactions!$C$2:$C$548,C229,Transactions!$E$2:$E$548)&gt;5000,K229&lt;&gt;"East"),"High-Value Merchant Day","Normal")</f>
        <v>High-Value Merchant Day</v>
      </c>
    </row>
    <row r="230">
      <c r="A230" s="2" t="s">
        <v>313</v>
      </c>
      <c r="B230" s="2">
        <v>224.0</v>
      </c>
      <c r="C230" s="2">
        <v>38.0</v>
      </c>
      <c r="D230" s="5">
        <v>46050.135416666664</v>
      </c>
      <c r="E230" s="2">
        <v>299.0</v>
      </c>
      <c r="F230" s="2" t="s">
        <v>35</v>
      </c>
      <c r="G230" s="2" t="s">
        <v>64</v>
      </c>
      <c r="H230" s="2">
        <v>51.0</v>
      </c>
      <c r="I230" s="3" t="str">
        <f>IFERROR(VLOOKUP($C230,Merchants!$A$1:$D$41,2,FALSE),"Merchant not found")</f>
        <v>Merchant_038</v>
      </c>
      <c r="J230" s="3" t="str">
        <f>IFERROR(VLOOKUP($C230,Merchants!$A$1:$D$41,3,FALSE),"Merchant not found")</f>
        <v>bill_payment</v>
      </c>
      <c r="K230" s="3" t="str">
        <f>IFERROR(VLOOKUP($C230,Merchants!$A$1:$D$41,4,FALSE),"Merchant not found")</f>
        <v>West</v>
      </c>
      <c r="L230" s="3">
        <f>IFERROR(HLOOKUP(F230,Fee_Lookup!$B$1:$E$2,2,FALSE),"Fee not found")</f>
        <v>1</v>
      </c>
      <c r="M230" s="3" t="str">
        <f>IF(AND(SUMIF(Transactions!$C$2:$C$548,C230,Transactions!$E$2:$E$548)&gt;5000,K230&lt;&gt;"East"),"High-Value Merchant Day","Normal")</f>
        <v>Normal</v>
      </c>
    </row>
    <row r="231">
      <c r="A231" s="2" t="s">
        <v>314</v>
      </c>
      <c r="B231" s="2">
        <v>159.0</v>
      </c>
      <c r="C231" s="2">
        <v>22.0</v>
      </c>
      <c r="D231" s="5">
        <v>46039.100694444445</v>
      </c>
      <c r="E231" s="2">
        <v>799.0</v>
      </c>
      <c r="F231" s="2" t="s">
        <v>6</v>
      </c>
      <c r="G231" s="2" t="s">
        <v>36</v>
      </c>
      <c r="H231" s="2">
        <v>28.0</v>
      </c>
      <c r="I231" s="3" t="str">
        <f>IFERROR(VLOOKUP($C231,Merchants!$A$1:$D$41,2,FALSE),"Merchant not found")</f>
        <v>Merchant_022</v>
      </c>
      <c r="J231" s="3" t="str">
        <f>IFERROR(VLOOKUP($C231,Merchants!$A$1:$D$41,3,FALSE),"Merchant not found")</f>
        <v>ecommerce</v>
      </c>
      <c r="K231" s="3" t="str">
        <f>IFERROR(VLOOKUP($C231,Merchants!$A$1:$D$41,4,FALSE),"Merchant not found")</f>
        <v>West</v>
      </c>
      <c r="L231" s="3">
        <f>IFERROR(HLOOKUP(F231,Fee_Lookup!$B$1:$E$2,2,FALSE),"Fee not found")</f>
        <v>0.5</v>
      </c>
      <c r="M231" s="3" t="str">
        <f>IF(AND(SUMIF(Transactions!$C$2:$C$548,C231,Transactions!$E$2:$E$548)&gt;5000,K231&lt;&gt;"East"),"High-Value Merchant Day","Normal")</f>
        <v>High-Value Merchant Day</v>
      </c>
    </row>
    <row r="232">
      <c r="A232" s="2" t="s">
        <v>315</v>
      </c>
      <c r="B232" s="2">
        <v>262.0</v>
      </c>
      <c r="C232" s="2">
        <v>8.0</v>
      </c>
      <c r="D232" s="5">
        <v>46033.21111111111</v>
      </c>
      <c r="E232" s="2">
        <v>149.0</v>
      </c>
      <c r="F232" s="2" t="s">
        <v>6</v>
      </c>
      <c r="G232" s="2" t="s">
        <v>36</v>
      </c>
      <c r="H232" s="2">
        <v>67.0</v>
      </c>
      <c r="I232" s="3" t="str">
        <f>IFERROR(VLOOKUP($C232,Merchants!$A$1:$D$41,2,FALSE),"Merchant not found")</f>
        <v>Merchant_008</v>
      </c>
      <c r="J232" s="3" t="str">
        <f>IFERROR(VLOOKUP($C232,Merchants!$A$1:$D$41,3,FALSE),"Merchant not found")</f>
        <v>travel</v>
      </c>
      <c r="K232" s="3" t="str">
        <f>IFERROR(VLOOKUP($C232,Merchants!$A$1:$D$41,4,FALSE),"Merchant not found")</f>
        <v>North</v>
      </c>
      <c r="L232" s="3">
        <f>IFERROR(HLOOKUP(F232,Fee_Lookup!$B$1:$E$2,2,FALSE),"Fee not found")</f>
        <v>0.5</v>
      </c>
      <c r="M232" s="3" t="str">
        <f>IF(AND(SUMIF(Transactions!$C$2:$C$548,C232,Transactions!$E$2:$E$548)&gt;5000,K232&lt;&gt;"East"),"High-Value Merchant Day","Normal")</f>
        <v>High-Value Merchant Day</v>
      </c>
    </row>
    <row r="233">
      <c r="A233" s="2" t="s">
        <v>316</v>
      </c>
      <c r="B233" s="2">
        <v>179.0</v>
      </c>
      <c r="C233" s="2">
        <v>23.0</v>
      </c>
      <c r="D233" s="5">
        <v>46039.28958333333</v>
      </c>
      <c r="E233" s="2">
        <v>49.0</v>
      </c>
      <c r="F233" s="2" t="s">
        <v>35</v>
      </c>
      <c r="G233" s="2" t="s">
        <v>36</v>
      </c>
      <c r="H233" s="2">
        <v>93.0</v>
      </c>
      <c r="I233" s="3" t="str">
        <f>IFERROR(VLOOKUP($C233,Merchants!$A$1:$D$41,2,FALSE),"Merchant not found")</f>
        <v>Merchant_023</v>
      </c>
      <c r="J233" s="3" t="str">
        <f>IFERROR(VLOOKUP($C233,Merchants!$A$1:$D$41,3,FALSE),"Merchant not found")</f>
        <v>travel</v>
      </c>
      <c r="K233" s="3" t="str">
        <f>IFERROR(VLOOKUP($C233,Merchants!$A$1:$D$41,4,FALSE),"Merchant not found")</f>
        <v>South</v>
      </c>
      <c r="L233" s="3">
        <f>IFERROR(HLOOKUP(F233,Fee_Lookup!$B$1:$E$2,2,FALSE),"Fee not found")</f>
        <v>1</v>
      </c>
      <c r="M233" s="3" t="str">
        <f>IF(AND(SUMIF(Transactions!$C$2:$C$548,C233,Transactions!$E$2:$E$548)&gt;5000,K233&lt;&gt;"East"),"High-Value Merchant Day","Normal")</f>
        <v>Normal</v>
      </c>
    </row>
    <row r="234">
      <c r="A234" s="2" t="s">
        <v>317</v>
      </c>
      <c r="B234" s="2">
        <v>76.0</v>
      </c>
      <c r="C234" s="2">
        <v>16.0</v>
      </c>
      <c r="D234" s="5">
        <v>46049.86944444444</v>
      </c>
      <c r="E234" s="2">
        <v>299.0</v>
      </c>
      <c r="F234" s="2" t="s">
        <v>6</v>
      </c>
      <c r="G234" s="2" t="s">
        <v>36</v>
      </c>
      <c r="H234" s="2">
        <v>13.0</v>
      </c>
      <c r="I234" s="3" t="str">
        <f>IFERROR(VLOOKUP($C234,Merchants!$A$1:$D$41,2,FALSE),"Merchant not found")</f>
        <v>Merchant_016</v>
      </c>
      <c r="J234" s="3" t="str">
        <f>IFERROR(VLOOKUP($C234,Merchants!$A$1:$D$41,3,FALSE),"Merchant not found")</f>
        <v>entertainment</v>
      </c>
      <c r="K234" s="3" t="str">
        <f>IFERROR(VLOOKUP($C234,Merchants!$A$1:$D$41,4,FALSE),"Merchant not found")</f>
        <v>North</v>
      </c>
      <c r="L234" s="3">
        <f>IFERROR(HLOOKUP(F234,Fee_Lookup!$B$1:$E$2,2,FALSE),"Fee not found")</f>
        <v>0.5</v>
      </c>
      <c r="M234" s="3" t="str">
        <f>IF(AND(SUMIF(Transactions!$C$2:$C$548,C234,Transactions!$E$2:$E$548)&gt;5000,K234&lt;&gt;"East"),"High-Value Merchant Day","Normal")</f>
        <v>High-Value Merchant Day</v>
      </c>
    </row>
    <row r="235">
      <c r="A235" s="2" t="s">
        <v>318</v>
      </c>
      <c r="B235" s="2">
        <v>89.0</v>
      </c>
      <c r="C235" s="2">
        <v>39.0</v>
      </c>
      <c r="D235" s="5">
        <v>46027.34166666667</v>
      </c>
      <c r="E235" s="2">
        <v>299.0</v>
      </c>
      <c r="F235" s="2" t="s">
        <v>6</v>
      </c>
      <c r="G235" s="2" t="s">
        <v>36</v>
      </c>
      <c r="H235" s="2">
        <v>19.0</v>
      </c>
      <c r="I235" s="3" t="str">
        <f>IFERROR(VLOOKUP($C235,Merchants!$A$1:$D$41,2,FALSE),"Merchant not found")</f>
        <v>Merchant_039</v>
      </c>
      <c r="J235" s="3" t="str">
        <f>IFERROR(VLOOKUP($C235,Merchants!$A$1:$D$41,3,FALSE),"Merchant not found")</f>
        <v>grocery</v>
      </c>
      <c r="K235" s="3" t="str">
        <f>IFERROR(VLOOKUP($C235,Merchants!$A$1:$D$41,4,FALSE),"Merchant not found")</f>
        <v>South</v>
      </c>
      <c r="L235" s="3">
        <f>IFERROR(HLOOKUP(F235,Fee_Lookup!$B$1:$E$2,2,FALSE),"Fee not found")</f>
        <v>0.5</v>
      </c>
      <c r="M235" s="3" t="str">
        <f>IF(AND(SUMIF(Transactions!$C$2:$C$548,C235,Transactions!$E$2:$E$548)&gt;5000,K235&lt;&gt;"East"),"High-Value Merchant Day","Normal")</f>
        <v>High-Value Merchant Day</v>
      </c>
    </row>
    <row r="236">
      <c r="A236" s="2" t="s">
        <v>319</v>
      </c>
      <c r="B236" s="2">
        <v>91.0</v>
      </c>
      <c r="C236" s="2">
        <v>32.0</v>
      </c>
      <c r="D236" s="5">
        <v>46047.83611111111</v>
      </c>
      <c r="E236" s="2">
        <v>49.0</v>
      </c>
      <c r="F236" s="2" t="s">
        <v>6</v>
      </c>
      <c r="G236" s="2" t="s">
        <v>36</v>
      </c>
      <c r="H236" s="2">
        <v>59.0</v>
      </c>
      <c r="I236" s="3" t="str">
        <f>IFERROR(VLOOKUP($C236,Merchants!$A$1:$D$41,2,FALSE),"Merchant not found")</f>
        <v>Merchant_032</v>
      </c>
      <c r="J236" s="3" t="str">
        <f>IFERROR(VLOOKUP($C236,Merchants!$A$1:$D$41,3,FALSE),"Merchant not found")</f>
        <v>grocery</v>
      </c>
      <c r="K236" s="3" t="str">
        <f>IFERROR(VLOOKUP($C236,Merchants!$A$1:$D$41,4,FALSE),"Merchant not found")</f>
        <v>North</v>
      </c>
      <c r="L236" s="3">
        <f>IFERROR(HLOOKUP(F236,Fee_Lookup!$B$1:$E$2,2,FALSE),"Fee not found")</f>
        <v>0.5</v>
      </c>
      <c r="M236" s="3" t="str">
        <f>IF(AND(SUMIF(Transactions!$C$2:$C$548,C236,Transactions!$E$2:$E$548)&gt;5000,K236&lt;&gt;"East"),"High-Value Merchant Day","Normal")</f>
        <v>High-Value Merchant Day</v>
      </c>
    </row>
    <row r="237">
      <c r="A237" s="2" t="s">
        <v>320</v>
      </c>
      <c r="B237" s="2">
        <v>297.0</v>
      </c>
      <c r="C237" s="2">
        <v>29.0</v>
      </c>
      <c r="D237" s="5">
        <v>46047.78333333333</v>
      </c>
      <c r="E237" s="2">
        <v>99.0</v>
      </c>
      <c r="F237" s="2" t="s">
        <v>96</v>
      </c>
      <c r="G237" s="2" t="s">
        <v>62</v>
      </c>
      <c r="H237" s="2">
        <v>87.0</v>
      </c>
      <c r="I237" s="3" t="str">
        <f>IFERROR(VLOOKUP($C237,Merchants!$A$1:$D$41,2,FALSE),"Merchant not found")</f>
        <v>Merchant_029</v>
      </c>
      <c r="J237" s="3" t="str">
        <f>IFERROR(VLOOKUP($C237,Merchants!$A$1:$D$41,3,FALSE),"Merchant not found")</f>
        <v>ecommerce</v>
      </c>
      <c r="K237" s="3" t="str">
        <f>IFERROR(VLOOKUP($C237,Merchants!$A$1:$D$41,4,FALSE),"Merchant not found")</f>
        <v>North</v>
      </c>
      <c r="L237" s="3">
        <f>IFERROR(HLOOKUP(F237,Fee_Lookup!$B$1:$E$2,2,FALSE),"Fee not found")</f>
        <v>1.8</v>
      </c>
      <c r="M237" s="3" t="str">
        <f>IF(AND(SUMIF(Transactions!$C$2:$C$548,C237,Transactions!$E$2:$E$548)&gt;5000,K237&lt;&gt;"East"),"High-Value Merchant Day","Normal")</f>
        <v>High-Value Merchant Day</v>
      </c>
    </row>
    <row r="238">
      <c r="A238" s="2" t="s">
        <v>321</v>
      </c>
      <c r="B238" s="2">
        <v>326.0</v>
      </c>
      <c r="C238" s="2">
        <v>40.0</v>
      </c>
      <c r="D238" s="5">
        <v>46052.77847222222</v>
      </c>
      <c r="E238" s="2">
        <v>499.0</v>
      </c>
      <c r="F238" s="2" t="s">
        <v>96</v>
      </c>
      <c r="G238" s="2" t="s">
        <v>36</v>
      </c>
      <c r="H238" s="2">
        <v>41.0</v>
      </c>
      <c r="I238" s="3" t="str">
        <f>IFERROR(VLOOKUP($C238,Merchants!$A$1:$D$41,2,FALSE),"Merchant not found")</f>
        <v>Merchant_040</v>
      </c>
      <c r="J238" s="3" t="str">
        <f>IFERROR(VLOOKUP($C238,Merchants!$A$1:$D$41,3,FALSE),"Merchant not found")</f>
        <v>ecommerce</v>
      </c>
      <c r="K238" s="3" t="str">
        <f>IFERROR(VLOOKUP($C238,Merchants!$A$1:$D$41,4,FALSE),"Merchant not found")</f>
        <v>North</v>
      </c>
      <c r="L238" s="3">
        <f>IFERROR(HLOOKUP(F238,Fee_Lookup!$B$1:$E$2,2,FALSE),"Fee not found")</f>
        <v>1.8</v>
      </c>
      <c r="M238" s="3" t="str">
        <f>IF(AND(SUMIF(Transactions!$C$2:$C$548,C238,Transactions!$E$2:$E$548)&gt;5000,K238&lt;&gt;"East"),"High-Value Merchant Day","Normal")</f>
        <v>High-Value Merchant Day</v>
      </c>
    </row>
    <row r="239">
      <c r="A239" s="2" t="s">
        <v>322</v>
      </c>
      <c r="B239" s="2">
        <v>78.0</v>
      </c>
      <c r="C239" s="2">
        <v>29.0</v>
      </c>
      <c r="D239" s="5">
        <v>46050.84722222222</v>
      </c>
      <c r="E239" s="2">
        <v>149.0</v>
      </c>
      <c r="F239" s="2" t="s">
        <v>6</v>
      </c>
      <c r="G239" s="2" t="s">
        <v>36</v>
      </c>
      <c r="H239" s="2">
        <v>8.0</v>
      </c>
      <c r="I239" s="3" t="str">
        <f>IFERROR(VLOOKUP($C239,Merchants!$A$1:$D$41,2,FALSE),"Merchant not found")</f>
        <v>Merchant_029</v>
      </c>
      <c r="J239" s="3" t="str">
        <f>IFERROR(VLOOKUP($C239,Merchants!$A$1:$D$41,3,FALSE),"Merchant not found")</f>
        <v>ecommerce</v>
      </c>
      <c r="K239" s="3" t="str">
        <f>IFERROR(VLOOKUP($C239,Merchants!$A$1:$D$41,4,FALSE),"Merchant not found")</f>
        <v>North</v>
      </c>
      <c r="L239" s="3">
        <f>IFERROR(HLOOKUP(F239,Fee_Lookup!$B$1:$E$2,2,FALSE),"Fee not found")</f>
        <v>0.5</v>
      </c>
      <c r="M239" s="3" t="str">
        <f>IF(AND(SUMIF(Transactions!$C$2:$C$548,C239,Transactions!$E$2:$E$548)&gt;5000,K239&lt;&gt;"East"),"High-Value Merchant Day","Normal")</f>
        <v>High-Value Merchant Day</v>
      </c>
    </row>
    <row r="240">
      <c r="A240" s="2" t="s">
        <v>323</v>
      </c>
      <c r="B240" s="2">
        <v>156.0</v>
      </c>
      <c r="C240" s="2">
        <v>18.0</v>
      </c>
      <c r="D240" s="5">
        <v>46038.61111111111</v>
      </c>
      <c r="E240" s="2">
        <v>2999.0</v>
      </c>
      <c r="F240" s="2" t="s">
        <v>96</v>
      </c>
      <c r="G240" s="2" t="s">
        <v>36</v>
      </c>
      <c r="H240" s="2">
        <v>75.0</v>
      </c>
      <c r="I240" s="3" t="str">
        <f>IFERROR(VLOOKUP($C240,Merchants!$A$1:$D$41,2,FALSE),"Merchant not found")</f>
        <v>Merchant_018</v>
      </c>
      <c r="J240" s="3" t="str">
        <f>IFERROR(VLOOKUP($C240,Merchants!$A$1:$D$41,3,FALSE),"Merchant not found")</f>
        <v>grocery</v>
      </c>
      <c r="K240" s="3" t="str">
        <f>IFERROR(VLOOKUP($C240,Merchants!$A$1:$D$41,4,FALSE),"Merchant not found")</f>
        <v>South</v>
      </c>
      <c r="L240" s="3">
        <f>IFERROR(HLOOKUP(F240,Fee_Lookup!$B$1:$E$2,2,FALSE),"Fee not found")</f>
        <v>1.8</v>
      </c>
      <c r="M240" s="3" t="str">
        <f>IF(AND(SUMIF(Transactions!$C$2:$C$548,C240,Transactions!$E$2:$E$548)&gt;5000,K240&lt;&gt;"East"),"High-Value Merchant Day","Normal")</f>
        <v>High-Value Merchant Day</v>
      </c>
    </row>
    <row r="241">
      <c r="A241" s="2" t="s">
        <v>324</v>
      </c>
      <c r="B241" s="2">
        <v>38.0</v>
      </c>
      <c r="C241" s="2">
        <v>20.0</v>
      </c>
      <c r="D241" s="5">
        <v>46024.48055555556</v>
      </c>
      <c r="E241" s="2">
        <v>49.0</v>
      </c>
      <c r="F241" s="2" t="s">
        <v>35</v>
      </c>
      <c r="G241" s="2" t="s">
        <v>64</v>
      </c>
      <c r="H241" s="2">
        <v>59.0</v>
      </c>
      <c r="I241" s="3" t="str">
        <f>IFERROR(VLOOKUP($C241,Merchants!$A$1:$D$41,2,FALSE),"Merchant not found")</f>
        <v>Merchant_020</v>
      </c>
      <c r="J241" s="3" t="str">
        <f>IFERROR(VLOOKUP($C241,Merchants!$A$1:$D$41,3,FALSE),"Merchant not found")</f>
        <v>entertainment</v>
      </c>
      <c r="K241" s="3" t="str">
        <f>IFERROR(VLOOKUP($C241,Merchants!$A$1:$D$41,4,FALSE),"Merchant not found")</f>
        <v>West</v>
      </c>
      <c r="L241" s="3">
        <f>IFERROR(HLOOKUP(F241,Fee_Lookup!$B$1:$E$2,2,FALSE),"Fee not found")</f>
        <v>1</v>
      </c>
      <c r="M241" s="3" t="str">
        <f>IF(AND(SUMIF(Transactions!$C$2:$C$548,C241,Transactions!$E$2:$E$548)&gt;5000,K241&lt;&gt;"East"),"High-Value Merchant Day","Normal")</f>
        <v>Normal</v>
      </c>
    </row>
    <row r="242">
      <c r="A242" s="2" t="s">
        <v>325</v>
      </c>
      <c r="B242" s="2">
        <v>189.0</v>
      </c>
      <c r="C242" s="2">
        <v>19.0</v>
      </c>
      <c r="D242" s="5">
        <v>46037.04375</v>
      </c>
      <c r="E242" s="2">
        <v>99.0</v>
      </c>
      <c r="F242" s="2" t="s">
        <v>6</v>
      </c>
      <c r="G242" s="2" t="s">
        <v>64</v>
      </c>
      <c r="H242" s="2">
        <v>9.0</v>
      </c>
      <c r="I242" s="3" t="str">
        <f>IFERROR(VLOOKUP($C242,Merchants!$A$1:$D$41,2,FALSE),"Merchant not found")</f>
        <v>Merchant_019</v>
      </c>
      <c r="J242" s="3" t="str">
        <f>IFERROR(VLOOKUP($C242,Merchants!$A$1:$D$41,3,FALSE),"Merchant not found")</f>
        <v>recharge</v>
      </c>
      <c r="K242" s="3" t="str">
        <f>IFERROR(VLOOKUP($C242,Merchants!$A$1:$D$41,4,FALSE),"Merchant not found")</f>
        <v>North</v>
      </c>
      <c r="L242" s="3">
        <f>IFERROR(HLOOKUP(F242,Fee_Lookup!$B$1:$E$2,2,FALSE),"Fee not found")</f>
        <v>0.5</v>
      </c>
      <c r="M242" s="3" t="str">
        <f>IF(AND(SUMIF(Transactions!$C$2:$C$548,C242,Transactions!$E$2:$E$548)&gt;5000,K242&lt;&gt;"East"),"High-Value Merchant Day","Normal")</f>
        <v>High-Value Merchant Day</v>
      </c>
    </row>
    <row r="243">
      <c r="A243" s="2" t="s">
        <v>326</v>
      </c>
      <c r="B243" s="2">
        <v>305.0</v>
      </c>
      <c r="C243" s="2">
        <v>33.0</v>
      </c>
      <c r="D243" s="5">
        <v>46043.11041666667</v>
      </c>
      <c r="E243" s="2">
        <v>299.0</v>
      </c>
      <c r="F243" s="2" t="s">
        <v>96</v>
      </c>
      <c r="G243" s="2" t="s">
        <v>36</v>
      </c>
      <c r="H243" s="2">
        <v>49.0</v>
      </c>
      <c r="I243" s="3" t="str">
        <f>IFERROR(VLOOKUP($C243,Merchants!$A$1:$D$41,2,FALSE),"Merchant not found")</f>
        <v>Merchant_033</v>
      </c>
      <c r="J243" s="3" t="str">
        <f>IFERROR(VLOOKUP($C243,Merchants!$A$1:$D$41,3,FALSE),"Merchant not found")</f>
        <v>entertainment</v>
      </c>
      <c r="K243" s="3" t="str">
        <f>IFERROR(VLOOKUP($C243,Merchants!$A$1:$D$41,4,FALSE),"Merchant not found")</f>
        <v>East</v>
      </c>
      <c r="L243" s="3">
        <f>IFERROR(HLOOKUP(F243,Fee_Lookup!$B$1:$E$2,2,FALSE),"Fee not found")</f>
        <v>1.8</v>
      </c>
      <c r="M243" s="3" t="str">
        <f>IF(AND(SUMIF(Transactions!$C$2:$C$548,C243,Transactions!$E$2:$E$548)&gt;5000,K243&lt;&gt;"East"),"High-Value Merchant Day","Normal")</f>
        <v>Normal</v>
      </c>
    </row>
    <row r="244">
      <c r="A244" s="2" t="s">
        <v>327</v>
      </c>
      <c r="B244" s="2">
        <v>22.0</v>
      </c>
      <c r="C244" s="2">
        <v>29.0</v>
      </c>
      <c r="D244" s="5">
        <v>46037.774305555555</v>
      </c>
      <c r="E244" s="2">
        <v>799.0</v>
      </c>
      <c r="F244" s="2" t="s">
        <v>6</v>
      </c>
      <c r="G244" s="2" t="s">
        <v>36</v>
      </c>
      <c r="H244" s="2">
        <v>73.0</v>
      </c>
      <c r="I244" s="3" t="str">
        <f>IFERROR(VLOOKUP($C244,Merchants!$A$1:$D$41,2,FALSE),"Merchant not found")</f>
        <v>Merchant_029</v>
      </c>
      <c r="J244" s="3" t="str">
        <f>IFERROR(VLOOKUP($C244,Merchants!$A$1:$D$41,3,FALSE),"Merchant not found")</f>
        <v>ecommerce</v>
      </c>
      <c r="K244" s="3" t="str">
        <f>IFERROR(VLOOKUP($C244,Merchants!$A$1:$D$41,4,FALSE),"Merchant not found")</f>
        <v>North</v>
      </c>
      <c r="L244" s="3">
        <f>IFERROR(HLOOKUP(F244,Fee_Lookup!$B$1:$E$2,2,FALSE),"Fee not found")</f>
        <v>0.5</v>
      </c>
      <c r="M244" s="3" t="str">
        <f>IF(AND(SUMIF(Transactions!$C$2:$C$548,C244,Transactions!$E$2:$E$548)&gt;5000,K244&lt;&gt;"East"),"High-Value Merchant Day","Normal")</f>
        <v>High-Value Merchant Day</v>
      </c>
    </row>
    <row r="245">
      <c r="A245" s="2" t="s">
        <v>328</v>
      </c>
      <c r="B245" s="2">
        <v>310.0</v>
      </c>
      <c r="C245" s="2">
        <v>31.0</v>
      </c>
      <c r="D245" s="5">
        <v>46043.26388888889</v>
      </c>
      <c r="E245" s="2">
        <v>49.0</v>
      </c>
      <c r="F245" s="2" t="s">
        <v>96</v>
      </c>
      <c r="G245" s="2" t="s">
        <v>36</v>
      </c>
      <c r="H245" s="2">
        <v>64.0</v>
      </c>
      <c r="I245" s="3" t="str">
        <f>IFERROR(VLOOKUP($C245,Merchants!$A$1:$D$41,2,FALSE),"Merchant not found")</f>
        <v>Merchant_031</v>
      </c>
      <c r="J245" s="3" t="str">
        <f>IFERROR(VLOOKUP($C245,Merchants!$A$1:$D$41,3,FALSE),"Merchant not found")</f>
        <v>bill_payment</v>
      </c>
      <c r="K245" s="3" t="str">
        <f>IFERROR(VLOOKUP($C245,Merchants!$A$1:$D$41,4,FALSE),"Merchant not found")</f>
        <v>South</v>
      </c>
      <c r="L245" s="3">
        <f>IFERROR(HLOOKUP(F245,Fee_Lookup!$B$1:$E$2,2,FALSE),"Fee not found")</f>
        <v>1.8</v>
      </c>
      <c r="M245" s="3" t="str">
        <f>IF(AND(SUMIF(Transactions!$C$2:$C$548,C245,Transactions!$E$2:$E$548)&gt;5000,K245&lt;&gt;"East"),"High-Value Merchant Day","Normal")</f>
        <v>Normal</v>
      </c>
    </row>
    <row r="246">
      <c r="A246" s="2" t="s">
        <v>329</v>
      </c>
      <c r="B246" s="2">
        <v>53.0</v>
      </c>
      <c r="C246" s="2">
        <v>22.0</v>
      </c>
      <c r="D246" s="5">
        <v>46027.061111111114</v>
      </c>
      <c r="E246" s="2">
        <v>299.0</v>
      </c>
      <c r="F246" s="2" t="s">
        <v>6</v>
      </c>
      <c r="G246" s="2" t="s">
        <v>36</v>
      </c>
      <c r="H246" s="2">
        <v>91.0</v>
      </c>
      <c r="I246" s="3" t="str">
        <f>IFERROR(VLOOKUP($C246,Merchants!$A$1:$D$41,2,FALSE),"Merchant not found")</f>
        <v>Merchant_022</v>
      </c>
      <c r="J246" s="3" t="str">
        <f>IFERROR(VLOOKUP($C246,Merchants!$A$1:$D$41,3,FALSE),"Merchant not found")</f>
        <v>ecommerce</v>
      </c>
      <c r="K246" s="3" t="str">
        <f>IFERROR(VLOOKUP($C246,Merchants!$A$1:$D$41,4,FALSE),"Merchant not found")</f>
        <v>West</v>
      </c>
      <c r="L246" s="3">
        <f>IFERROR(HLOOKUP(F246,Fee_Lookup!$B$1:$E$2,2,FALSE),"Fee not found")</f>
        <v>0.5</v>
      </c>
      <c r="M246" s="3" t="str">
        <f>IF(AND(SUMIF(Transactions!$C$2:$C$548,C246,Transactions!$E$2:$E$548)&gt;5000,K246&lt;&gt;"East"),"High-Value Merchant Day","Normal")</f>
        <v>High-Value Merchant Day</v>
      </c>
    </row>
    <row r="247">
      <c r="A247" s="2" t="s">
        <v>330</v>
      </c>
      <c r="B247" s="2">
        <v>89.0</v>
      </c>
      <c r="C247" s="2">
        <v>3.0</v>
      </c>
      <c r="D247" s="5">
        <v>46025.69513888889</v>
      </c>
      <c r="E247" s="2">
        <v>149.0</v>
      </c>
      <c r="F247" s="2" t="s">
        <v>96</v>
      </c>
      <c r="G247" s="2" t="s">
        <v>36</v>
      </c>
      <c r="H247" s="2">
        <v>31.0</v>
      </c>
      <c r="I247" s="3" t="str">
        <f>IFERROR(VLOOKUP($C247,Merchants!$A$1:$D$41,2,FALSE),"Merchant not found")</f>
        <v>Merchant_003</v>
      </c>
      <c r="J247" s="3" t="str">
        <f>IFERROR(VLOOKUP($C247,Merchants!$A$1:$D$41,3,FALSE),"Merchant not found")</f>
        <v>entertainment</v>
      </c>
      <c r="K247" s="3" t="str">
        <f>IFERROR(VLOOKUP($C247,Merchants!$A$1:$D$41,4,FALSE),"Merchant not found")</f>
        <v>East</v>
      </c>
      <c r="L247" s="3">
        <f>IFERROR(HLOOKUP(F247,Fee_Lookup!$B$1:$E$2,2,FALSE),"Fee not found")</f>
        <v>1.8</v>
      </c>
      <c r="M247" s="3" t="str">
        <f>IF(AND(SUMIF(Transactions!$C$2:$C$548,C247,Transactions!$E$2:$E$548)&gt;5000,K247&lt;&gt;"East"),"High-Value Merchant Day","Normal")</f>
        <v>Normal</v>
      </c>
    </row>
    <row r="248">
      <c r="A248" s="2" t="s">
        <v>331</v>
      </c>
      <c r="B248" s="2">
        <v>269.0</v>
      </c>
      <c r="C248" s="2">
        <v>34.0</v>
      </c>
      <c r="D248" s="5">
        <v>46045.60277777778</v>
      </c>
      <c r="E248" s="2">
        <v>149.0</v>
      </c>
      <c r="F248" s="2" t="s">
        <v>6</v>
      </c>
      <c r="G248" s="2" t="s">
        <v>36</v>
      </c>
      <c r="H248" s="2">
        <v>78.0</v>
      </c>
      <c r="I248" s="3" t="str">
        <f>IFERROR(VLOOKUP($C248,Merchants!$A$1:$D$41,2,FALSE),"Merchant not found")</f>
        <v>Merchant_034</v>
      </c>
      <c r="J248" s="3" t="str">
        <f>IFERROR(VLOOKUP($C248,Merchants!$A$1:$D$41,3,FALSE),"Merchant not found")</f>
        <v>recharge</v>
      </c>
      <c r="K248" s="3" t="str">
        <f>IFERROR(VLOOKUP($C248,Merchants!$A$1:$D$41,4,FALSE),"Merchant not found")</f>
        <v>West</v>
      </c>
      <c r="L248" s="3">
        <f>IFERROR(HLOOKUP(F248,Fee_Lookup!$B$1:$E$2,2,FALSE),"Fee not found")</f>
        <v>0.5</v>
      </c>
      <c r="M248" s="3" t="str">
        <f>IF(AND(SUMIF(Transactions!$C$2:$C$548,C248,Transactions!$E$2:$E$548)&gt;5000,K248&lt;&gt;"East"),"High-Value Merchant Day","Normal")</f>
        <v>High-Value Merchant Day</v>
      </c>
    </row>
    <row r="249">
      <c r="A249" s="2" t="s">
        <v>332</v>
      </c>
      <c r="B249" s="2">
        <v>145.0</v>
      </c>
      <c r="C249" s="2">
        <v>25.0</v>
      </c>
      <c r="D249" s="5">
        <v>46028.47430555556</v>
      </c>
      <c r="E249" s="2">
        <v>799.0</v>
      </c>
      <c r="F249" s="2" t="s">
        <v>6</v>
      </c>
      <c r="G249" s="2" t="s">
        <v>36</v>
      </c>
      <c r="H249" s="2">
        <v>52.0</v>
      </c>
      <c r="I249" s="3" t="str">
        <f>IFERROR(VLOOKUP($C249,Merchants!$A$1:$D$41,2,FALSE),"Merchant not found")</f>
        <v>Merchant_025</v>
      </c>
      <c r="J249" s="3" t="str">
        <f>IFERROR(VLOOKUP($C249,Merchants!$A$1:$D$41,3,FALSE),"Merchant not found")</f>
        <v>grocery</v>
      </c>
      <c r="K249" s="3" t="str">
        <f>IFERROR(VLOOKUP($C249,Merchants!$A$1:$D$41,4,FALSE),"Merchant not found")</f>
        <v>East</v>
      </c>
      <c r="L249" s="3">
        <f>IFERROR(HLOOKUP(F249,Fee_Lookup!$B$1:$E$2,2,FALSE),"Fee not found")</f>
        <v>0.5</v>
      </c>
      <c r="M249" s="3" t="str">
        <f>IF(AND(SUMIF(Transactions!$C$2:$C$548,C249,Transactions!$E$2:$E$548)&gt;5000,K249&lt;&gt;"East"),"High-Value Merchant Day","Normal")</f>
        <v>Normal</v>
      </c>
    </row>
    <row r="250">
      <c r="A250" s="2" t="s">
        <v>333</v>
      </c>
      <c r="B250" s="2">
        <v>307.0</v>
      </c>
      <c r="C250" s="2">
        <v>4.0</v>
      </c>
      <c r="D250" s="5">
        <v>46047.44652777778</v>
      </c>
      <c r="E250" s="2">
        <v>1499.0</v>
      </c>
      <c r="F250" s="2" t="s">
        <v>6</v>
      </c>
      <c r="G250" s="2" t="s">
        <v>36</v>
      </c>
      <c r="H250" s="2">
        <v>80.0</v>
      </c>
      <c r="I250" s="3" t="str">
        <f>IFERROR(VLOOKUP($C250,Merchants!$A$1:$D$41,2,FALSE),"Merchant not found")</f>
        <v>Merchant_004</v>
      </c>
      <c r="J250" s="3" t="str">
        <f>IFERROR(VLOOKUP($C250,Merchants!$A$1:$D$41,3,FALSE),"Merchant not found")</f>
        <v>grocery</v>
      </c>
      <c r="K250" s="3" t="str">
        <f>IFERROR(VLOOKUP($C250,Merchants!$A$1:$D$41,4,FALSE),"Merchant not found")</f>
        <v>West</v>
      </c>
      <c r="L250" s="3">
        <f>IFERROR(HLOOKUP(F250,Fee_Lookup!$B$1:$E$2,2,FALSE),"Fee not found")</f>
        <v>0.5</v>
      </c>
      <c r="M250" s="3" t="str">
        <f>IF(AND(SUMIF(Transactions!$C$2:$C$548,C250,Transactions!$E$2:$E$548)&gt;5000,K250&lt;&gt;"East"),"High-Value Merchant Day","Normal")</f>
        <v>High-Value Merchant Day</v>
      </c>
    </row>
    <row r="251">
      <c r="A251" s="2" t="s">
        <v>334</v>
      </c>
      <c r="B251" s="2">
        <v>169.0</v>
      </c>
      <c r="C251" s="2">
        <v>7.0</v>
      </c>
      <c r="D251" s="5">
        <v>46043.419444444444</v>
      </c>
      <c r="E251" s="2">
        <v>1499.0</v>
      </c>
      <c r="F251" s="2" t="s">
        <v>35</v>
      </c>
      <c r="G251" s="2" t="s">
        <v>36</v>
      </c>
      <c r="H251" s="2">
        <v>71.0</v>
      </c>
      <c r="I251" s="3" t="str">
        <f>IFERROR(VLOOKUP($C251,Merchants!$A$1:$D$41,2,FALSE),"Merchant not found")</f>
        <v>Merchant_007</v>
      </c>
      <c r="J251" s="3" t="str">
        <f>IFERROR(VLOOKUP($C251,Merchants!$A$1:$D$41,3,FALSE),"Merchant not found")</f>
        <v>bill_payment</v>
      </c>
      <c r="K251" s="3" t="str">
        <f>IFERROR(VLOOKUP($C251,Merchants!$A$1:$D$41,4,FALSE),"Merchant not found")</f>
        <v>South</v>
      </c>
      <c r="L251" s="3">
        <f>IFERROR(HLOOKUP(F251,Fee_Lookup!$B$1:$E$2,2,FALSE),"Fee not found")</f>
        <v>1</v>
      </c>
      <c r="M251" s="3" t="str">
        <f>IF(AND(SUMIF(Transactions!$C$2:$C$548,C251,Transactions!$E$2:$E$548)&gt;5000,K251&lt;&gt;"East"),"High-Value Merchant Day","Normal")</f>
        <v>High-Value Merchant Day</v>
      </c>
    </row>
    <row r="252">
      <c r="A252" s="2" t="s">
        <v>335</v>
      </c>
      <c r="B252" s="2">
        <v>130.0</v>
      </c>
      <c r="C252" s="2">
        <v>39.0</v>
      </c>
      <c r="D252" s="5">
        <v>46044.5125</v>
      </c>
      <c r="E252" s="2">
        <v>2999.0</v>
      </c>
      <c r="F252" s="2" t="s">
        <v>35</v>
      </c>
      <c r="G252" s="2" t="s">
        <v>36</v>
      </c>
      <c r="H252" s="2">
        <v>19.0</v>
      </c>
      <c r="I252" s="3" t="str">
        <f>IFERROR(VLOOKUP($C252,Merchants!$A$1:$D$41,2,FALSE),"Merchant not found")</f>
        <v>Merchant_039</v>
      </c>
      <c r="J252" s="3" t="str">
        <f>IFERROR(VLOOKUP($C252,Merchants!$A$1:$D$41,3,FALSE),"Merchant not found")</f>
        <v>grocery</v>
      </c>
      <c r="K252" s="3" t="str">
        <f>IFERROR(VLOOKUP($C252,Merchants!$A$1:$D$41,4,FALSE),"Merchant not found")</f>
        <v>South</v>
      </c>
      <c r="L252" s="3">
        <f>IFERROR(HLOOKUP(F252,Fee_Lookup!$B$1:$E$2,2,FALSE),"Fee not found")</f>
        <v>1</v>
      </c>
      <c r="M252" s="3" t="str">
        <f>IF(AND(SUMIF(Transactions!$C$2:$C$548,C252,Transactions!$E$2:$E$548)&gt;5000,K252&lt;&gt;"East"),"High-Value Merchant Day","Normal")</f>
        <v>High-Value Merchant Day</v>
      </c>
    </row>
    <row r="253">
      <c r="A253" s="2" t="s">
        <v>336</v>
      </c>
      <c r="B253" s="2">
        <v>340.0</v>
      </c>
      <c r="C253" s="2">
        <v>10.0</v>
      </c>
      <c r="D253" s="5">
        <v>46033.10902777778</v>
      </c>
      <c r="E253" s="2">
        <v>49.0</v>
      </c>
      <c r="F253" s="2" t="s">
        <v>96</v>
      </c>
      <c r="G253" s="2" t="s">
        <v>36</v>
      </c>
      <c r="H253" s="2">
        <v>44.0</v>
      </c>
      <c r="I253" s="3" t="str">
        <f>IFERROR(VLOOKUP($C253,Merchants!$A$1:$D$41,2,FALSE),"Merchant not found")</f>
        <v>Merchant_010</v>
      </c>
      <c r="J253" s="3" t="str">
        <f>IFERROR(VLOOKUP($C253,Merchants!$A$1:$D$41,3,FALSE),"Merchant not found")</f>
        <v>grocery</v>
      </c>
      <c r="K253" s="3" t="str">
        <f>IFERROR(VLOOKUP($C253,Merchants!$A$1:$D$41,4,FALSE),"Merchant not found")</f>
        <v>East</v>
      </c>
      <c r="L253" s="3">
        <f>IFERROR(HLOOKUP(F253,Fee_Lookup!$B$1:$E$2,2,FALSE),"Fee not found")</f>
        <v>1.8</v>
      </c>
      <c r="M253" s="3" t="str">
        <f>IF(AND(SUMIF(Transactions!$C$2:$C$548,C253,Transactions!$E$2:$E$548)&gt;5000,K253&lt;&gt;"East"),"High-Value Merchant Day","Normal")</f>
        <v>Normal</v>
      </c>
    </row>
    <row r="254">
      <c r="A254" s="2" t="s">
        <v>337</v>
      </c>
      <c r="B254" s="2">
        <v>340.0</v>
      </c>
      <c r="C254" s="2">
        <v>26.0</v>
      </c>
      <c r="D254" s="5">
        <v>46032.86388888889</v>
      </c>
      <c r="E254" s="2">
        <v>299.0</v>
      </c>
      <c r="F254" s="2" t="s">
        <v>96</v>
      </c>
      <c r="G254" s="2" t="s">
        <v>36</v>
      </c>
      <c r="H254" s="2">
        <v>16.0</v>
      </c>
      <c r="I254" s="3" t="str">
        <f>IFERROR(VLOOKUP($C254,Merchants!$A$1:$D$41,2,FALSE),"Merchant not found")</f>
        <v>Merchant_026</v>
      </c>
      <c r="J254" s="3" t="str">
        <f>IFERROR(VLOOKUP($C254,Merchants!$A$1:$D$41,3,FALSE),"Merchant not found")</f>
        <v>entertainment</v>
      </c>
      <c r="K254" s="3" t="str">
        <f>IFERROR(VLOOKUP($C254,Merchants!$A$1:$D$41,4,FALSE),"Merchant not found")</f>
        <v>West</v>
      </c>
      <c r="L254" s="3">
        <f>IFERROR(HLOOKUP(F254,Fee_Lookup!$B$1:$E$2,2,FALSE),"Fee not found")</f>
        <v>1.8</v>
      </c>
      <c r="M254" s="3" t="str">
        <f>IF(AND(SUMIF(Transactions!$C$2:$C$548,C254,Transactions!$E$2:$E$548)&gt;5000,K254&lt;&gt;"East"),"High-Value Merchant Day","Normal")</f>
        <v>High-Value Merchant Day</v>
      </c>
    </row>
    <row r="255">
      <c r="A255" s="2" t="s">
        <v>338</v>
      </c>
      <c r="B255" s="2">
        <v>159.0</v>
      </c>
      <c r="C255" s="2">
        <v>36.0</v>
      </c>
      <c r="D255" s="5">
        <v>46042.92013888889</v>
      </c>
      <c r="E255" s="2">
        <v>49.0</v>
      </c>
      <c r="F255" s="2" t="s">
        <v>6</v>
      </c>
      <c r="G255" s="2" t="s">
        <v>36</v>
      </c>
      <c r="H255" s="2">
        <v>48.0</v>
      </c>
      <c r="I255" s="3" t="str">
        <f>IFERROR(VLOOKUP($C255,Merchants!$A$1:$D$41,2,FALSE),"Merchant not found")</f>
        <v>Merchant_036</v>
      </c>
      <c r="J255" s="3" t="str">
        <f>IFERROR(VLOOKUP($C255,Merchants!$A$1:$D$41,3,FALSE),"Merchant not found")</f>
        <v>ecommerce</v>
      </c>
      <c r="K255" s="3" t="str">
        <f>IFERROR(VLOOKUP($C255,Merchants!$A$1:$D$41,4,FALSE),"Merchant not found")</f>
        <v>East</v>
      </c>
      <c r="L255" s="3">
        <f>IFERROR(HLOOKUP(F255,Fee_Lookup!$B$1:$E$2,2,FALSE),"Fee not found")</f>
        <v>0.5</v>
      </c>
      <c r="M255" s="3" t="str">
        <f>IF(AND(SUMIF(Transactions!$C$2:$C$548,C255,Transactions!$E$2:$E$548)&gt;5000,K255&lt;&gt;"East"),"High-Value Merchant Day","Normal")</f>
        <v>Normal</v>
      </c>
    </row>
    <row r="256">
      <c r="A256" s="2" t="s">
        <v>339</v>
      </c>
      <c r="B256" s="2">
        <v>66.0</v>
      </c>
      <c r="C256" s="2">
        <v>34.0</v>
      </c>
      <c r="D256" s="5">
        <v>46043.45277777778</v>
      </c>
      <c r="E256" s="2">
        <v>799.0</v>
      </c>
      <c r="F256" s="2" t="s">
        <v>6</v>
      </c>
      <c r="G256" s="2" t="s">
        <v>36</v>
      </c>
      <c r="H256" s="2">
        <v>11.0</v>
      </c>
      <c r="I256" s="3" t="str">
        <f>IFERROR(VLOOKUP($C256,Merchants!$A$1:$D$41,2,FALSE),"Merchant not found")</f>
        <v>Merchant_034</v>
      </c>
      <c r="J256" s="3" t="str">
        <f>IFERROR(VLOOKUP($C256,Merchants!$A$1:$D$41,3,FALSE),"Merchant not found")</f>
        <v>recharge</v>
      </c>
      <c r="K256" s="3" t="str">
        <f>IFERROR(VLOOKUP($C256,Merchants!$A$1:$D$41,4,FALSE),"Merchant not found")</f>
        <v>West</v>
      </c>
      <c r="L256" s="3">
        <f>IFERROR(HLOOKUP(F256,Fee_Lookup!$B$1:$E$2,2,FALSE),"Fee not found")</f>
        <v>0.5</v>
      </c>
      <c r="M256" s="3" t="str">
        <f>IF(AND(SUMIF(Transactions!$C$2:$C$548,C256,Transactions!$E$2:$E$548)&gt;5000,K256&lt;&gt;"East"),"High-Value Merchant Day","Normal")</f>
        <v>High-Value Merchant Day</v>
      </c>
    </row>
    <row r="257">
      <c r="A257" s="2" t="s">
        <v>340</v>
      </c>
      <c r="B257" s="2">
        <v>261.0</v>
      </c>
      <c r="C257" s="2">
        <v>24.0</v>
      </c>
      <c r="D257" s="5">
        <v>46043.89375</v>
      </c>
      <c r="E257" s="2">
        <v>799.0</v>
      </c>
      <c r="F257" s="2" t="s">
        <v>96</v>
      </c>
      <c r="G257" s="2" t="s">
        <v>36</v>
      </c>
      <c r="H257" s="2">
        <v>2.0</v>
      </c>
      <c r="I257" s="3" t="str">
        <f>IFERROR(VLOOKUP($C257,Merchants!$A$1:$D$41,2,FALSE),"Merchant not found")</f>
        <v>Merchant_024</v>
      </c>
      <c r="J257" s="3" t="str">
        <f>IFERROR(VLOOKUP($C257,Merchants!$A$1:$D$41,3,FALSE),"Merchant not found")</f>
        <v>bill_payment</v>
      </c>
      <c r="K257" s="3" t="str">
        <f>IFERROR(VLOOKUP($C257,Merchants!$A$1:$D$41,4,FALSE),"Merchant not found")</f>
        <v>North</v>
      </c>
      <c r="L257" s="3">
        <f>IFERROR(HLOOKUP(F257,Fee_Lookup!$B$1:$E$2,2,FALSE),"Fee not found")</f>
        <v>1.8</v>
      </c>
      <c r="M257" s="3" t="str">
        <f>IF(AND(SUMIF(Transactions!$C$2:$C$548,C257,Transactions!$E$2:$E$548)&gt;5000,K257&lt;&gt;"East"),"High-Value Merchant Day","Normal")</f>
        <v>Normal</v>
      </c>
    </row>
    <row r="258">
      <c r="A258" s="2" t="s">
        <v>341</v>
      </c>
      <c r="B258" s="2">
        <v>110.0</v>
      </c>
      <c r="C258" s="2">
        <v>22.0</v>
      </c>
      <c r="D258" s="5">
        <v>46034.38263888889</v>
      </c>
      <c r="E258" s="2">
        <v>799.0</v>
      </c>
      <c r="F258" s="2" t="s">
        <v>6</v>
      </c>
      <c r="G258" s="2" t="s">
        <v>36</v>
      </c>
      <c r="H258" s="2">
        <v>98.0</v>
      </c>
      <c r="I258" s="3" t="str">
        <f>IFERROR(VLOOKUP($C258,Merchants!$A$1:$D$41,2,FALSE),"Merchant not found")</f>
        <v>Merchant_022</v>
      </c>
      <c r="J258" s="3" t="str">
        <f>IFERROR(VLOOKUP($C258,Merchants!$A$1:$D$41,3,FALSE),"Merchant not found")</f>
        <v>ecommerce</v>
      </c>
      <c r="K258" s="3" t="str">
        <f>IFERROR(VLOOKUP($C258,Merchants!$A$1:$D$41,4,FALSE),"Merchant not found")</f>
        <v>West</v>
      </c>
      <c r="L258" s="3">
        <f>IFERROR(HLOOKUP(F258,Fee_Lookup!$B$1:$E$2,2,FALSE),"Fee not found")</f>
        <v>0.5</v>
      </c>
      <c r="M258" s="3" t="str">
        <f>IF(AND(SUMIF(Transactions!$C$2:$C$548,C258,Transactions!$E$2:$E$548)&gt;5000,K258&lt;&gt;"East"),"High-Value Merchant Day","Normal")</f>
        <v>High-Value Merchant Day</v>
      </c>
    </row>
    <row r="259">
      <c r="A259" s="2" t="s">
        <v>342</v>
      </c>
      <c r="B259" s="2">
        <v>71.0</v>
      </c>
      <c r="C259" s="2">
        <v>10.0</v>
      </c>
      <c r="D259" s="5">
        <v>46038.259722222225</v>
      </c>
      <c r="E259" s="2">
        <v>49.0</v>
      </c>
      <c r="F259" s="2" t="s">
        <v>6</v>
      </c>
      <c r="G259" s="2" t="s">
        <v>36</v>
      </c>
      <c r="H259" s="2">
        <v>9.0</v>
      </c>
      <c r="I259" s="3" t="str">
        <f>IFERROR(VLOOKUP($C259,Merchants!$A$1:$D$41,2,FALSE),"Merchant not found")</f>
        <v>Merchant_010</v>
      </c>
      <c r="J259" s="3" t="str">
        <f>IFERROR(VLOOKUP($C259,Merchants!$A$1:$D$41,3,FALSE),"Merchant not found")</f>
        <v>grocery</v>
      </c>
      <c r="K259" s="3" t="str">
        <f>IFERROR(VLOOKUP($C259,Merchants!$A$1:$D$41,4,FALSE),"Merchant not found")</f>
        <v>East</v>
      </c>
      <c r="L259" s="3">
        <f>IFERROR(HLOOKUP(F259,Fee_Lookup!$B$1:$E$2,2,FALSE),"Fee not found")</f>
        <v>0.5</v>
      </c>
      <c r="M259" s="3" t="str">
        <f>IF(AND(SUMIF(Transactions!$C$2:$C$548,C259,Transactions!$E$2:$E$548)&gt;5000,K259&lt;&gt;"East"),"High-Value Merchant Day","Normal")</f>
        <v>Normal</v>
      </c>
    </row>
    <row r="260">
      <c r="A260" s="2" t="s">
        <v>343</v>
      </c>
      <c r="B260" s="2">
        <v>277.0</v>
      </c>
      <c r="C260" s="2">
        <v>34.0</v>
      </c>
      <c r="D260" s="5">
        <v>46032.14722222222</v>
      </c>
      <c r="E260" s="2">
        <v>49.0</v>
      </c>
      <c r="F260" s="2" t="s">
        <v>6</v>
      </c>
      <c r="G260" s="2" t="s">
        <v>36</v>
      </c>
      <c r="H260" s="2">
        <v>4.0</v>
      </c>
      <c r="I260" s="3" t="str">
        <f>IFERROR(VLOOKUP($C260,Merchants!$A$1:$D$41,2,FALSE),"Merchant not found")</f>
        <v>Merchant_034</v>
      </c>
      <c r="J260" s="3" t="str">
        <f>IFERROR(VLOOKUP($C260,Merchants!$A$1:$D$41,3,FALSE),"Merchant not found")</f>
        <v>recharge</v>
      </c>
      <c r="K260" s="3" t="str">
        <f>IFERROR(VLOOKUP($C260,Merchants!$A$1:$D$41,4,FALSE),"Merchant not found")</f>
        <v>West</v>
      </c>
      <c r="L260" s="3">
        <f>IFERROR(HLOOKUP(F260,Fee_Lookup!$B$1:$E$2,2,FALSE),"Fee not found")</f>
        <v>0.5</v>
      </c>
      <c r="M260" s="3" t="str">
        <f>IF(AND(SUMIF(Transactions!$C$2:$C$548,C260,Transactions!$E$2:$E$548)&gt;5000,K260&lt;&gt;"East"),"High-Value Merchant Day","Normal")</f>
        <v>High-Value Merchant Day</v>
      </c>
    </row>
    <row r="261">
      <c r="A261" s="2" t="s">
        <v>344</v>
      </c>
      <c r="B261" s="2">
        <v>317.0</v>
      </c>
      <c r="C261" s="2">
        <v>9.0</v>
      </c>
      <c r="D261" s="5">
        <v>46044.455555555556</v>
      </c>
      <c r="E261" s="2">
        <v>499.0</v>
      </c>
      <c r="F261" s="2" t="s">
        <v>35</v>
      </c>
      <c r="G261" s="2" t="s">
        <v>36</v>
      </c>
      <c r="H261" s="2">
        <v>76.0</v>
      </c>
      <c r="I261" s="3" t="str">
        <f>IFERROR(VLOOKUP($C261,Merchants!$A$1:$D$41,2,FALSE),"Merchant not found")</f>
        <v>Merchant_009</v>
      </c>
      <c r="J261" s="3" t="str">
        <f>IFERROR(VLOOKUP($C261,Merchants!$A$1:$D$41,3,FALSE),"Merchant not found")</f>
        <v>entertainment</v>
      </c>
      <c r="K261" s="3" t="str">
        <f>IFERROR(VLOOKUP($C261,Merchants!$A$1:$D$41,4,FALSE),"Merchant not found")</f>
        <v>West</v>
      </c>
      <c r="L261" s="3">
        <f>IFERROR(HLOOKUP(F261,Fee_Lookup!$B$1:$E$2,2,FALSE),"Fee not found")</f>
        <v>1</v>
      </c>
      <c r="M261" s="3" t="str">
        <f>IF(AND(SUMIF(Transactions!$C$2:$C$548,C261,Transactions!$E$2:$E$548)&gt;5000,K261&lt;&gt;"East"),"High-Value Merchant Day","Normal")</f>
        <v>Normal</v>
      </c>
    </row>
    <row r="262">
      <c r="A262" s="2" t="s">
        <v>345</v>
      </c>
      <c r="B262" s="2">
        <v>93.0</v>
      </c>
      <c r="C262" s="2">
        <v>40.0</v>
      </c>
      <c r="D262" s="5">
        <v>46035.17361111111</v>
      </c>
      <c r="E262" s="2">
        <v>299.0</v>
      </c>
      <c r="F262" s="2" t="s">
        <v>6</v>
      </c>
      <c r="G262" s="2" t="s">
        <v>36</v>
      </c>
      <c r="H262" s="2">
        <v>21.0</v>
      </c>
      <c r="I262" s="3" t="str">
        <f>IFERROR(VLOOKUP($C262,Merchants!$A$1:$D$41,2,FALSE),"Merchant not found")</f>
        <v>Merchant_040</v>
      </c>
      <c r="J262" s="3" t="str">
        <f>IFERROR(VLOOKUP($C262,Merchants!$A$1:$D$41,3,FALSE),"Merchant not found")</f>
        <v>ecommerce</v>
      </c>
      <c r="K262" s="3" t="str">
        <f>IFERROR(VLOOKUP($C262,Merchants!$A$1:$D$41,4,FALSE),"Merchant not found")</f>
        <v>North</v>
      </c>
      <c r="L262" s="3">
        <f>IFERROR(HLOOKUP(F262,Fee_Lookup!$B$1:$E$2,2,FALSE),"Fee not found")</f>
        <v>0.5</v>
      </c>
      <c r="M262" s="3" t="str">
        <f>IF(AND(SUMIF(Transactions!$C$2:$C$548,C262,Transactions!$E$2:$E$548)&gt;5000,K262&lt;&gt;"East"),"High-Value Merchant Day","Normal")</f>
        <v>High-Value Merchant Day</v>
      </c>
    </row>
    <row r="263">
      <c r="A263" s="2" t="s">
        <v>346</v>
      </c>
      <c r="B263" s="2">
        <v>211.0</v>
      </c>
      <c r="C263" s="2">
        <v>24.0</v>
      </c>
      <c r="D263" s="5">
        <v>46046.58472222222</v>
      </c>
      <c r="E263" s="2">
        <v>99.0</v>
      </c>
      <c r="F263" s="2" t="s">
        <v>79</v>
      </c>
      <c r="G263" s="2" t="s">
        <v>36</v>
      </c>
      <c r="H263" s="2">
        <v>86.0</v>
      </c>
      <c r="I263" s="3" t="str">
        <f>IFERROR(VLOOKUP($C263,Merchants!$A$1:$D$41,2,FALSE),"Merchant not found")</f>
        <v>Merchant_024</v>
      </c>
      <c r="J263" s="3" t="str">
        <f>IFERROR(VLOOKUP($C263,Merchants!$A$1:$D$41,3,FALSE),"Merchant not found")</f>
        <v>bill_payment</v>
      </c>
      <c r="K263" s="3" t="str">
        <f>IFERROR(VLOOKUP($C263,Merchants!$A$1:$D$41,4,FALSE),"Merchant not found")</f>
        <v>North</v>
      </c>
      <c r="L263" s="3">
        <f>IFERROR(HLOOKUP(F263,Fee_Lookup!$B$1:$E$2,2,FALSE),"Fee not found")</f>
        <v>1.5</v>
      </c>
      <c r="M263" s="3" t="str">
        <f>IF(AND(SUMIF(Transactions!$C$2:$C$548,C263,Transactions!$E$2:$E$548)&gt;5000,K263&lt;&gt;"East"),"High-Value Merchant Day","Normal")</f>
        <v>Normal</v>
      </c>
    </row>
    <row r="264">
      <c r="A264" s="2" t="s">
        <v>347</v>
      </c>
      <c r="B264" s="2">
        <v>313.0</v>
      </c>
      <c r="C264" s="2">
        <v>19.0</v>
      </c>
      <c r="D264" s="5">
        <v>46046.311111111114</v>
      </c>
      <c r="E264" s="2">
        <v>149.0</v>
      </c>
      <c r="F264" s="2" t="s">
        <v>6</v>
      </c>
      <c r="G264" s="2" t="s">
        <v>36</v>
      </c>
      <c r="H264" s="2">
        <v>96.0</v>
      </c>
      <c r="I264" s="3" t="str">
        <f>IFERROR(VLOOKUP($C264,Merchants!$A$1:$D$41,2,FALSE),"Merchant not found")</f>
        <v>Merchant_019</v>
      </c>
      <c r="J264" s="3" t="str">
        <f>IFERROR(VLOOKUP($C264,Merchants!$A$1:$D$41,3,FALSE),"Merchant not found")</f>
        <v>recharge</v>
      </c>
      <c r="K264" s="3" t="str">
        <f>IFERROR(VLOOKUP($C264,Merchants!$A$1:$D$41,4,FALSE),"Merchant not found")</f>
        <v>North</v>
      </c>
      <c r="L264" s="3">
        <f>IFERROR(HLOOKUP(F264,Fee_Lookup!$B$1:$E$2,2,FALSE),"Fee not found")</f>
        <v>0.5</v>
      </c>
      <c r="M264" s="3" t="str">
        <f>IF(AND(SUMIF(Transactions!$C$2:$C$548,C264,Transactions!$E$2:$E$548)&gt;5000,K264&lt;&gt;"East"),"High-Value Merchant Day","Normal")</f>
        <v>High-Value Merchant Day</v>
      </c>
    </row>
    <row r="265">
      <c r="A265" s="2" t="s">
        <v>348</v>
      </c>
      <c r="B265" s="2">
        <v>274.0</v>
      </c>
      <c r="C265" s="2">
        <v>16.0</v>
      </c>
      <c r="D265" s="5">
        <v>46046.59305555555</v>
      </c>
      <c r="E265" s="2">
        <v>49.0</v>
      </c>
      <c r="F265" s="2" t="s">
        <v>35</v>
      </c>
      <c r="G265" s="2" t="s">
        <v>64</v>
      </c>
      <c r="H265" s="2">
        <v>39.0</v>
      </c>
      <c r="I265" s="3" t="str">
        <f>IFERROR(VLOOKUP($C265,Merchants!$A$1:$D$41,2,FALSE),"Merchant not found")</f>
        <v>Merchant_016</v>
      </c>
      <c r="J265" s="3" t="str">
        <f>IFERROR(VLOOKUP($C265,Merchants!$A$1:$D$41,3,FALSE),"Merchant not found")</f>
        <v>entertainment</v>
      </c>
      <c r="K265" s="3" t="str">
        <f>IFERROR(VLOOKUP($C265,Merchants!$A$1:$D$41,4,FALSE),"Merchant not found")</f>
        <v>North</v>
      </c>
      <c r="L265" s="3">
        <f>IFERROR(HLOOKUP(F265,Fee_Lookup!$B$1:$E$2,2,FALSE),"Fee not found")</f>
        <v>1</v>
      </c>
      <c r="M265" s="3" t="str">
        <f>IF(AND(SUMIF(Transactions!$C$2:$C$548,C265,Transactions!$E$2:$E$548)&gt;5000,K265&lt;&gt;"East"),"High-Value Merchant Day","Normal")</f>
        <v>High-Value Merchant Day</v>
      </c>
    </row>
    <row r="266">
      <c r="A266" s="2" t="s">
        <v>349</v>
      </c>
      <c r="B266" s="2">
        <v>100.0</v>
      </c>
      <c r="C266" s="2">
        <v>24.0</v>
      </c>
      <c r="D266" s="5">
        <v>46048.66458333333</v>
      </c>
      <c r="E266" s="2">
        <v>299.0</v>
      </c>
      <c r="F266" s="2" t="s">
        <v>6</v>
      </c>
      <c r="G266" s="2" t="s">
        <v>36</v>
      </c>
      <c r="H266" s="2">
        <v>86.0</v>
      </c>
      <c r="I266" s="3" t="str">
        <f>IFERROR(VLOOKUP($C266,Merchants!$A$1:$D$41,2,FALSE),"Merchant not found")</f>
        <v>Merchant_024</v>
      </c>
      <c r="J266" s="3" t="str">
        <f>IFERROR(VLOOKUP($C266,Merchants!$A$1:$D$41,3,FALSE),"Merchant not found")</f>
        <v>bill_payment</v>
      </c>
      <c r="K266" s="3" t="str">
        <f>IFERROR(VLOOKUP($C266,Merchants!$A$1:$D$41,4,FALSE),"Merchant not found")</f>
        <v>North</v>
      </c>
      <c r="L266" s="3">
        <f>IFERROR(HLOOKUP(F266,Fee_Lookup!$B$1:$E$2,2,FALSE),"Fee not found")</f>
        <v>0.5</v>
      </c>
      <c r="M266" s="3" t="str">
        <f>IF(AND(SUMIF(Transactions!$C$2:$C$548,C266,Transactions!$E$2:$E$548)&gt;5000,K266&lt;&gt;"East"),"High-Value Merchant Day","Normal")</f>
        <v>Normal</v>
      </c>
    </row>
    <row r="267">
      <c r="A267" s="2" t="s">
        <v>350</v>
      </c>
      <c r="B267" s="2">
        <v>145.0</v>
      </c>
      <c r="C267" s="2">
        <v>25.0</v>
      </c>
      <c r="D267" s="5">
        <v>46041.603472222225</v>
      </c>
      <c r="E267" s="2">
        <v>2999.0</v>
      </c>
      <c r="F267" s="2" t="s">
        <v>35</v>
      </c>
      <c r="G267" s="2" t="s">
        <v>36</v>
      </c>
      <c r="H267" s="2">
        <v>64.0</v>
      </c>
      <c r="I267" s="3" t="str">
        <f>IFERROR(VLOOKUP($C267,Merchants!$A$1:$D$41,2,FALSE),"Merchant not found")</f>
        <v>Merchant_025</v>
      </c>
      <c r="J267" s="3" t="str">
        <f>IFERROR(VLOOKUP($C267,Merchants!$A$1:$D$41,3,FALSE),"Merchant not found")</f>
        <v>grocery</v>
      </c>
      <c r="K267" s="3" t="str">
        <f>IFERROR(VLOOKUP($C267,Merchants!$A$1:$D$41,4,FALSE),"Merchant not found")</f>
        <v>East</v>
      </c>
      <c r="L267" s="3">
        <f>IFERROR(HLOOKUP(F267,Fee_Lookup!$B$1:$E$2,2,FALSE),"Fee not found")</f>
        <v>1</v>
      </c>
      <c r="M267" s="3" t="str">
        <f>IF(AND(SUMIF(Transactions!$C$2:$C$548,C267,Transactions!$E$2:$E$548)&gt;5000,K267&lt;&gt;"East"),"High-Value Merchant Day","Normal")</f>
        <v>Normal</v>
      </c>
    </row>
    <row r="268">
      <c r="A268" s="2" t="s">
        <v>351</v>
      </c>
      <c r="B268" s="2">
        <v>103.0</v>
      </c>
      <c r="C268" s="2">
        <v>39.0</v>
      </c>
      <c r="D268" s="5">
        <v>46039.54861111111</v>
      </c>
      <c r="E268" s="2">
        <v>2999.0</v>
      </c>
      <c r="F268" s="2" t="s">
        <v>35</v>
      </c>
      <c r="G268" s="2" t="s">
        <v>36</v>
      </c>
      <c r="H268" s="2">
        <v>17.0</v>
      </c>
      <c r="I268" s="3" t="str">
        <f>IFERROR(VLOOKUP($C268,Merchants!$A$1:$D$41,2,FALSE),"Merchant not found")</f>
        <v>Merchant_039</v>
      </c>
      <c r="J268" s="3" t="str">
        <f>IFERROR(VLOOKUP($C268,Merchants!$A$1:$D$41,3,FALSE),"Merchant not found")</f>
        <v>grocery</v>
      </c>
      <c r="K268" s="3" t="str">
        <f>IFERROR(VLOOKUP($C268,Merchants!$A$1:$D$41,4,FALSE),"Merchant not found")</f>
        <v>South</v>
      </c>
      <c r="L268" s="3">
        <f>IFERROR(HLOOKUP(F268,Fee_Lookup!$B$1:$E$2,2,FALSE),"Fee not found")</f>
        <v>1</v>
      </c>
      <c r="M268" s="3" t="str">
        <f>IF(AND(SUMIF(Transactions!$C$2:$C$548,C268,Transactions!$E$2:$E$548)&gt;5000,K268&lt;&gt;"East"),"High-Value Merchant Day","Normal")</f>
        <v>High-Value Merchant Day</v>
      </c>
    </row>
    <row r="269">
      <c r="A269" s="2" t="s">
        <v>352</v>
      </c>
      <c r="B269" s="2">
        <v>329.0</v>
      </c>
      <c r="C269" s="2">
        <v>31.0</v>
      </c>
      <c r="D269" s="5">
        <v>46050.33541666667</v>
      </c>
      <c r="E269" s="2">
        <v>299.0</v>
      </c>
      <c r="F269" s="2" t="s">
        <v>35</v>
      </c>
      <c r="G269" s="2" t="s">
        <v>36</v>
      </c>
      <c r="H269" s="2">
        <v>47.0</v>
      </c>
      <c r="I269" s="3" t="str">
        <f>IFERROR(VLOOKUP($C269,Merchants!$A$1:$D$41,2,FALSE),"Merchant not found")</f>
        <v>Merchant_031</v>
      </c>
      <c r="J269" s="3" t="str">
        <f>IFERROR(VLOOKUP($C269,Merchants!$A$1:$D$41,3,FALSE),"Merchant not found")</f>
        <v>bill_payment</v>
      </c>
      <c r="K269" s="3" t="str">
        <f>IFERROR(VLOOKUP($C269,Merchants!$A$1:$D$41,4,FALSE),"Merchant not found")</f>
        <v>South</v>
      </c>
      <c r="L269" s="3">
        <f>IFERROR(HLOOKUP(F269,Fee_Lookup!$B$1:$E$2,2,FALSE),"Fee not found")</f>
        <v>1</v>
      </c>
      <c r="M269" s="3" t="str">
        <f>IF(AND(SUMIF(Transactions!$C$2:$C$548,C269,Transactions!$E$2:$E$548)&gt;5000,K269&lt;&gt;"East"),"High-Value Merchant Day","Normal")</f>
        <v>Normal</v>
      </c>
    </row>
    <row r="270">
      <c r="A270" s="2" t="s">
        <v>353</v>
      </c>
      <c r="B270" s="2">
        <v>265.0</v>
      </c>
      <c r="C270" s="2">
        <v>8.0</v>
      </c>
      <c r="D270" s="5">
        <v>46040.15625</v>
      </c>
      <c r="E270" s="2">
        <v>499.0</v>
      </c>
      <c r="F270" s="2" t="s">
        <v>79</v>
      </c>
      <c r="G270" s="2" t="s">
        <v>36</v>
      </c>
      <c r="H270" s="2">
        <v>36.0</v>
      </c>
      <c r="I270" s="3" t="str">
        <f>IFERROR(VLOOKUP($C270,Merchants!$A$1:$D$41,2,FALSE),"Merchant not found")</f>
        <v>Merchant_008</v>
      </c>
      <c r="J270" s="3" t="str">
        <f>IFERROR(VLOOKUP($C270,Merchants!$A$1:$D$41,3,FALSE),"Merchant not found")</f>
        <v>travel</v>
      </c>
      <c r="K270" s="3" t="str">
        <f>IFERROR(VLOOKUP($C270,Merchants!$A$1:$D$41,4,FALSE),"Merchant not found")</f>
        <v>North</v>
      </c>
      <c r="L270" s="3">
        <f>IFERROR(HLOOKUP(F270,Fee_Lookup!$B$1:$E$2,2,FALSE),"Fee not found")</f>
        <v>1.5</v>
      </c>
      <c r="M270" s="3" t="str">
        <f>IF(AND(SUMIF(Transactions!$C$2:$C$548,C270,Transactions!$E$2:$E$548)&gt;5000,K270&lt;&gt;"East"),"High-Value Merchant Day","Normal")</f>
        <v>High-Value Merchant Day</v>
      </c>
    </row>
    <row r="271">
      <c r="A271" s="2" t="s">
        <v>354</v>
      </c>
      <c r="B271" s="2">
        <v>231.0</v>
      </c>
      <c r="C271" s="2">
        <v>33.0</v>
      </c>
      <c r="D271" s="5">
        <v>46025.220138888886</v>
      </c>
      <c r="E271" s="2">
        <v>149.0</v>
      </c>
      <c r="F271" s="2" t="s">
        <v>6</v>
      </c>
      <c r="G271" s="2" t="s">
        <v>64</v>
      </c>
      <c r="H271" s="2">
        <v>18.0</v>
      </c>
      <c r="I271" s="3" t="str">
        <f>IFERROR(VLOOKUP($C271,Merchants!$A$1:$D$41,2,FALSE),"Merchant not found")</f>
        <v>Merchant_033</v>
      </c>
      <c r="J271" s="3" t="str">
        <f>IFERROR(VLOOKUP($C271,Merchants!$A$1:$D$41,3,FALSE),"Merchant not found")</f>
        <v>entertainment</v>
      </c>
      <c r="K271" s="3" t="str">
        <f>IFERROR(VLOOKUP($C271,Merchants!$A$1:$D$41,4,FALSE),"Merchant not found")</f>
        <v>East</v>
      </c>
      <c r="L271" s="3">
        <f>IFERROR(HLOOKUP(F271,Fee_Lookup!$B$1:$E$2,2,FALSE),"Fee not found")</f>
        <v>0.5</v>
      </c>
      <c r="M271" s="3" t="str">
        <f>IF(AND(SUMIF(Transactions!$C$2:$C$548,C271,Transactions!$E$2:$E$548)&gt;5000,K271&lt;&gt;"East"),"High-Value Merchant Day","Normal")</f>
        <v>Normal</v>
      </c>
    </row>
    <row r="272">
      <c r="A272" s="2" t="s">
        <v>355</v>
      </c>
      <c r="B272" s="2">
        <v>114.0</v>
      </c>
      <c r="C272" s="2">
        <v>29.0</v>
      </c>
      <c r="D272" s="5">
        <v>46049.54513888889</v>
      </c>
      <c r="E272" s="2">
        <v>799.0</v>
      </c>
      <c r="F272" s="2" t="s">
        <v>6</v>
      </c>
      <c r="G272" s="2" t="s">
        <v>62</v>
      </c>
      <c r="H272" s="2">
        <v>44.0</v>
      </c>
      <c r="I272" s="3" t="str">
        <f>IFERROR(VLOOKUP($C272,Merchants!$A$1:$D$41,2,FALSE),"Merchant not found")</f>
        <v>Merchant_029</v>
      </c>
      <c r="J272" s="3" t="str">
        <f>IFERROR(VLOOKUP($C272,Merchants!$A$1:$D$41,3,FALSE),"Merchant not found")</f>
        <v>ecommerce</v>
      </c>
      <c r="K272" s="3" t="str">
        <f>IFERROR(VLOOKUP($C272,Merchants!$A$1:$D$41,4,FALSE),"Merchant not found")</f>
        <v>North</v>
      </c>
      <c r="L272" s="3">
        <f>IFERROR(HLOOKUP(F272,Fee_Lookup!$B$1:$E$2,2,FALSE),"Fee not found")</f>
        <v>0.5</v>
      </c>
      <c r="M272" s="3" t="str">
        <f>IF(AND(SUMIF(Transactions!$C$2:$C$548,C272,Transactions!$E$2:$E$548)&gt;5000,K272&lt;&gt;"East"),"High-Value Merchant Day","Normal")</f>
        <v>High-Value Merchant Day</v>
      </c>
    </row>
    <row r="273">
      <c r="A273" s="2" t="s">
        <v>356</v>
      </c>
      <c r="B273" s="2">
        <v>28.0</v>
      </c>
      <c r="C273" s="2">
        <v>26.0</v>
      </c>
      <c r="D273" s="5">
        <v>46052.018055555556</v>
      </c>
      <c r="E273" s="2">
        <v>1499.0</v>
      </c>
      <c r="F273" s="2" t="s">
        <v>6</v>
      </c>
      <c r="G273" s="2" t="s">
        <v>64</v>
      </c>
      <c r="H273" s="2">
        <v>64.0</v>
      </c>
      <c r="I273" s="3" t="str">
        <f>IFERROR(VLOOKUP($C273,Merchants!$A$1:$D$41,2,FALSE),"Merchant not found")</f>
        <v>Merchant_026</v>
      </c>
      <c r="J273" s="3" t="str">
        <f>IFERROR(VLOOKUP($C273,Merchants!$A$1:$D$41,3,FALSE),"Merchant not found")</f>
        <v>entertainment</v>
      </c>
      <c r="K273" s="3" t="str">
        <f>IFERROR(VLOOKUP($C273,Merchants!$A$1:$D$41,4,FALSE),"Merchant not found")</f>
        <v>West</v>
      </c>
      <c r="L273" s="3">
        <f>IFERROR(HLOOKUP(F273,Fee_Lookup!$B$1:$E$2,2,FALSE),"Fee not found")</f>
        <v>0.5</v>
      </c>
      <c r="M273" s="3" t="str">
        <f>IF(AND(SUMIF(Transactions!$C$2:$C$548,C273,Transactions!$E$2:$E$548)&gt;5000,K273&lt;&gt;"East"),"High-Value Merchant Day","Normal")</f>
        <v>High-Value Merchant Day</v>
      </c>
    </row>
    <row r="274">
      <c r="A274" s="2" t="s">
        <v>357</v>
      </c>
      <c r="B274" s="2">
        <v>42.0</v>
      </c>
      <c r="C274" s="2">
        <v>24.0</v>
      </c>
      <c r="D274" s="5">
        <v>46034.308333333334</v>
      </c>
      <c r="E274" s="2">
        <v>149.0</v>
      </c>
      <c r="F274" s="2" t="s">
        <v>6</v>
      </c>
      <c r="G274" s="2" t="s">
        <v>36</v>
      </c>
      <c r="H274" s="2">
        <v>28.0</v>
      </c>
      <c r="I274" s="3" t="str">
        <f>IFERROR(VLOOKUP($C274,Merchants!$A$1:$D$41,2,FALSE),"Merchant not found")</f>
        <v>Merchant_024</v>
      </c>
      <c r="J274" s="3" t="str">
        <f>IFERROR(VLOOKUP($C274,Merchants!$A$1:$D$41,3,FALSE),"Merchant not found")</f>
        <v>bill_payment</v>
      </c>
      <c r="K274" s="3" t="str">
        <f>IFERROR(VLOOKUP($C274,Merchants!$A$1:$D$41,4,FALSE),"Merchant not found")</f>
        <v>North</v>
      </c>
      <c r="L274" s="3">
        <f>IFERROR(HLOOKUP(F274,Fee_Lookup!$B$1:$E$2,2,FALSE),"Fee not found")</f>
        <v>0.5</v>
      </c>
      <c r="M274" s="3" t="str">
        <f>IF(AND(SUMIF(Transactions!$C$2:$C$548,C274,Transactions!$E$2:$E$548)&gt;5000,K274&lt;&gt;"East"),"High-Value Merchant Day","Normal")</f>
        <v>Normal</v>
      </c>
    </row>
    <row r="275">
      <c r="A275" s="2" t="s">
        <v>358</v>
      </c>
      <c r="B275" s="2">
        <v>51.0</v>
      </c>
      <c r="C275" s="2">
        <v>22.0</v>
      </c>
      <c r="D275" s="5">
        <v>46023.45763888889</v>
      </c>
      <c r="E275" s="2">
        <v>799.0</v>
      </c>
      <c r="F275" s="2" t="s">
        <v>6</v>
      </c>
      <c r="G275" s="2" t="s">
        <v>36</v>
      </c>
      <c r="H275" s="2">
        <v>18.0</v>
      </c>
      <c r="I275" s="3" t="str">
        <f>IFERROR(VLOOKUP($C275,Merchants!$A$1:$D$41,2,FALSE),"Merchant not found")</f>
        <v>Merchant_022</v>
      </c>
      <c r="J275" s="3" t="str">
        <f>IFERROR(VLOOKUP($C275,Merchants!$A$1:$D$41,3,FALSE),"Merchant not found")</f>
        <v>ecommerce</v>
      </c>
      <c r="K275" s="3" t="str">
        <f>IFERROR(VLOOKUP($C275,Merchants!$A$1:$D$41,4,FALSE),"Merchant not found")</f>
        <v>West</v>
      </c>
      <c r="L275" s="3">
        <f>IFERROR(HLOOKUP(F275,Fee_Lookup!$B$1:$E$2,2,FALSE),"Fee not found")</f>
        <v>0.5</v>
      </c>
      <c r="M275" s="3" t="str">
        <f>IF(AND(SUMIF(Transactions!$C$2:$C$548,C275,Transactions!$E$2:$E$548)&gt;5000,K275&lt;&gt;"East"),"High-Value Merchant Day","Normal")</f>
        <v>High-Value Merchant Day</v>
      </c>
    </row>
    <row r="276">
      <c r="A276" s="2" t="s">
        <v>359</v>
      </c>
      <c r="B276" s="2">
        <v>242.0</v>
      </c>
      <c r="C276" s="2">
        <v>9.0</v>
      </c>
      <c r="D276" s="5">
        <v>46027.05416666667</v>
      </c>
      <c r="E276" s="2">
        <v>149.0</v>
      </c>
      <c r="F276" s="2" t="s">
        <v>6</v>
      </c>
      <c r="G276" s="2" t="s">
        <v>36</v>
      </c>
      <c r="H276" s="2">
        <v>97.0</v>
      </c>
      <c r="I276" s="3" t="str">
        <f>IFERROR(VLOOKUP($C276,Merchants!$A$1:$D$41,2,FALSE),"Merchant not found")</f>
        <v>Merchant_009</v>
      </c>
      <c r="J276" s="3" t="str">
        <f>IFERROR(VLOOKUP($C276,Merchants!$A$1:$D$41,3,FALSE),"Merchant not found")</f>
        <v>entertainment</v>
      </c>
      <c r="K276" s="3" t="str">
        <f>IFERROR(VLOOKUP($C276,Merchants!$A$1:$D$41,4,FALSE),"Merchant not found")</f>
        <v>West</v>
      </c>
      <c r="L276" s="3">
        <f>IFERROR(HLOOKUP(F276,Fee_Lookup!$B$1:$E$2,2,FALSE),"Fee not found")</f>
        <v>0.5</v>
      </c>
      <c r="M276" s="3" t="str">
        <f>IF(AND(SUMIF(Transactions!$C$2:$C$548,C276,Transactions!$E$2:$E$548)&gt;5000,K276&lt;&gt;"East"),"High-Value Merchant Day","Normal")</f>
        <v>Normal</v>
      </c>
    </row>
    <row r="277">
      <c r="A277" s="2" t="s">
        <v>360</v>
      </c>
      <c r="B277" s="2">
        <v>316.0</v>
      </c>
      <c r="C277" s="2">
        <v>1.0</v>
      </c>
      <c r="D277" s="5">
        <v>46045.64444444444</v>
      </c>
      <c r="E277" s="2">
        <v>149.0</v>
      </c>
      <c r="F277" s="2" t="s">
        <v>6</v>
      </c>
      <c r="G277" s="2" t="s">
        <v>36</v>
      </c>
      <c r="H277" s="2">
        <v>10.0</v>
      </c>
      <c r="I277" s="3" t="str">
        <f>IFERROR(VLOOKUP($C277,Merchants!$A$1:$D$41,2,FALSE),"Merchant not found")</f>
        <v>Merchant_001</v>
      </c>
      <c r="J277" s="3" t="str">
        <f>IFERROR(VLOOKUP($C277,Merchants!$A$1:$D$41,3,FALSE),"Merchant not found")</f>
        <v>entertainment</v>
      </c>
      <c r="K277" s="3" t="str">
        <f>IFERROR(VLOOKUP($C277,Merchants!$A$1:$D$41,4,FALSE),"Merchant not found")</f>
        <v>West</v>
      </c>
      <c r="L277" s="3">
        <f>IFERROR(HLOOKUP(F277,Fee_Lookup!$B$1:$E$2,2,FALSE),"Fee not found")</f>
        <v>0.5</v>
      </c>
      <c r="M277" s="3" t="str">
        <f>IF(AND(SUMIF(Transactions!$C$2:$C$548,C277,Transactions!$E$2:$E$548)&gt;5000,K277&lt;&gt;"East"),"High-Value Merchant Day","Normal")</f>
        <v>High-Value Merchant Day</v>
      </c>
    </row>
    <row r="278">
      <c r="A278" s="2" t="s">
        <v>361</v>
      </c>
      <c r="B278" s="2">
        <v>77.0</v>
      </c>
      <c r="C278" s="2">
        <v>36.0</v>
      </c>
      <c r="D278" s="5">
        <v>46023.342361111114</v>
      </c>
      <c r="E278" s="2">
        <v>149.0</v>
      </c>
      <c r="F278" s="2" t="s">
        <v>6</v>
      </c>
      <c r="G278" s="2" t="s">
        <v>36</v>
      </c>
      <c r="H278" s="2">
        <v>93.0</v>
      </c>
      <c r="I278" s="3" t="str">
        <f>IFERROR(VLOOKUP($C278,Merchants!$A$1:$D$41,2,FALSE),"Merchant not found")</f>
        <v>Merchant_036</v>
      </c>
      <c r="J278" s="3" t="str">
        <f>IFERROR(VLOOKUP($C278,Merchants!$A$1:$D$41,3,FALSE),"Merchant not found")</f>
        <v>ecommerce</v>
      </c>
      <c r="K278" s="3" t="str">
        <f>IFERROR(VLOOKUP($C278,Merchants!$A$1:$D$41,4,FALSE),"Merchant not found")</f>
        <v>East</v>
      </c>
      <c r="L278" s="3">
        <f>IFERROR(HLOOKUP(F278,Fee_Lookup!$B$1:$E$2,2,FALSE),"Fee not found")</f>
        <v>0.5</v>
      </c>
      <c r="M278" s="3" t="str">
        <f>IF(AND(SUMIF(Transactions!$C$2:$C$548,C278,Transactions!$E$2:$E$548)&gt;5000,K278&lt;&gt;"East"),"High-Value Merchant Day","Normal")</f>
        <v>Normal</v>
      </c>
    </row>
    <row r="279">
      <c r="A279" s="2" t="s">
        <v>362</v>
      </c>
      <c r="B279" s="2">
        <v>57.0</v>
      </c>
      <c r="C279" s="2">
        <v>19.0</v>
      </c>
      <c r="D279" s="5">
        <v>46042.68541666667</v>
      </c>
      <c r="E279" s="2">
        <v>49.0</v>
      </c>
      <c r="F279" s="2" t="s">
        <v>6</v>
      </c>
      <c r="G279" s="2" t="s">
        <v>36</v>
      </c>
      <c r="H279" s="2">
        <v>30.0</v>
      </c>
      <c r="I279" s="3" t="str">
        <f>IFERROR(VLOOKUP($C279,Merchants!$A$1:$D$41,2,FALSE),"Merchant not found")</f>
        <v>Merchant_019</v>
      </c>
      <c r="J279" s="3" t="str">
        <f>IFERROR(VLOOKUP($C279,Merchants!$A$1:$D$41,3,FALSE),"Merchant not found")</f>
        <v>recharge</v>
      </c>
      <c r="K279" s="3" t="str">
        <f>IFERROR(VLOOKUP($C279,Merchants!$A$1:$D$41,4,FALSE),"Merchant not found")</f>
        <v>North</v>
      </c>
      <c r="L279" s="3">
        <f>IFERROR(HLOOKUP(F279,Fee_Lookup!$B$1:$E$2,2,FALSE),"Fee not found")</f>
        <v>0.5</v>
      </c>
      <c r="M279" s="3" t="str">
        <f>IF(AND(SUMIF(Transactions!$C$2:$C$548,C279,Transactions!$E$2:$E$548)&gt;5000,K279&lt;&gt;"East"),"High-Value Merchant Day","Normal")</f>
        <v>High-Value Merchant Day</v>
      </c>
    </row>
    <row r="280">
      <c r="A280" s="2" t="s">
        <v>363</v>
      </c>
      <c r="B280" s="2">
        <v>123.0</v>
      </c>
      <c r="C280" s="2">
        <v>27.0</v>
      </c>
      <c r="D280" s="5">
        <v>46032.12708333333</v>
      </c>
      <c r="E280" s="2">
        <v>149.0</v>
      </c>
      <c r="F280" s="2" t="s">
        <v>79</v>
      </c>
      <c r="G280" s="2" t="s">
        <v>36</v>
      </c>
      <c r="H280" s="2">
        <v>81.0</v>
      </c>
      <c r="I280" s="3" t="str">
        <f>IFERROR(VLOOKUP($C280,Merchants!$A$1:$D$41,2,FALSE),"Merchant not found")</f>
        <v>Merchant_027</v>
      </c>
      <c r="J280" s="3" t="str">
        <f>IFERROR(VLOOKUP($C280,Merchants!$A$1:$D$41,3,FALSE),"Merchant not found")</f>
        <v>recharge</v>
      </c>
      <c r="K280" s="3" t="str">
        <f>IFERROR(VLOOKUP($C280,Merchants!$A$1:$D$41,4,FALSE),"Merchant not found")</f>
        <v>South</v>
      </c>
      <c r="L280" s="3">
        <f>IFERROR(HLOOKUP(F280,Fee_Lookup!$B$1:$E$2,2,FALSE),"Fee not found")</f>
        <v>1.5</v>
      </c>
      <c r="M280" s="3" t="str">
        <f>IF(AND(SUMIF(Transactions!$C$2:$C$548,C280,Transactions!$E$2:$E$548)&gt;5000,K280&lt;&gt;"East"),"High-Value Merchant Day","Normal")</f>
        <v>High-Value Merchant Day</v>
      </c>
    </row>
    <row r="281">
      <c r="A281" s="2" t="s">
        <v>364</v>
      </c>
      <c r="B281" s="2">
        <v>33.0</v>
      </c>
      <c r="C281" s="2">
        <v>8.0</v>
      </c>
      <c r="D281" s="5">
        <v>46048.81180555555</v>
      </c>
      <c r="E281" s="2">
        <v>299.0</v>
      </c>
      <c r="F281" s="2" t="s">
        <v>35</v>
      </c>
      <c r="G281" s="2" t="s">
        <v>36</v>
      </c>
      <c r="H281" s="2">
        <v>63.0</v>
      </c>
      <c r="I281" s="3" t="str">
        <f>IFERROR(VLOOKUP($C281,Merchants!$A$1:$D$41,2,FALSE),"Merchant not found")</f>
        <v>Merchant_008</v>
      </c>
      <c r="J281" s="3" t="str">
        <f>IFERROR(VLOOKUP($C281,Merchants!$A$1:$D$41,3,FALSE),"Merchant not found")</f>
        <v>travel</v>
      </c>
      <c r="K281" s="3" t="str">
        <f>IFERROR(VLOOKUP($C281,Merchants!$A$1:$D$41,4,FALSE),"Merchant not found")</f>
        <v>North</v>
      </c>
      <c r="L281" s="3">
        <f>IFERROR(HLOOKUP(F281,Fee_Lookup!$B$1:$E$2,2,FALSE),"Fee not found")</f>
        <v>1</v>
      </c>
      <c r="M281" s="3" t="str">
        <f>IF(AND(SUMIF(Transactions!$C$2:$C$548,C281,Transactions!$E$2:$E$548)&gt;5000,K281&lt;&gt;"East"),"High-Value Merchant Day","Normal")</f>
        <v>High-Value Merchant Day</v>
      </c>
    </row>
    <row r="282">
      <c r="A282" s="2" t="s">
        <v>365</v>
      </c>
      <c r="B282" s="2">
        <v>324.0</v>
      </c>
      <c r="C282" s="2">
        <v>33.0</v>
      </c>
      <c r="D282" s="5">
        <v>46042.709027777775</v>
      </c>
      <c r="E282" s="2">
        <v>499.0</v>
      </c>
      <c r="F282" s="2" t="s">
        <v>6</v>
      </c>
      <c r="G282" s="2" t="s">
        <v>36</v>
      </c>
      <c r="H282" s="2">
        <v>73.0</v>
      </c>
      <c r="I282" s="3" t="str">
        <f>IFERROR(VLOOKUP($C282,Merchants!$A$1:$D$41,2,FALSE),"Merchant not found")</f>
        <v>Merchant_033</v>
      </c>
      <c r="J282" s="3" t="str">
        <f>IFERROR(VLOOKUP($C282,Merchants!$A$1:$D$41,3,FALSE),"Merchant not found")</f>
        <v>entertainment</v>
      </c>
      <c r="K282" s="3" t="str">
        <f>IFERROR(VLOOKUP($C282,Merchants!$A$1:$D$41,4,FALSE),"Merchant not found")</f>
        <v>East</v>
      </c>
      <c r="L282" s="3">
        <f>IFERROR(HLOOKUP(F282,Fee_Lookup!$B$1:$E$2,2,FALSE),"Fee not found")</f>
        <v>0.5</v>
      </c>
      <c r="M282" s="3" t="str">
        <f>IF(AND(SUMIF(Transactions!$C$2:$C$548,C282,Transactions!$E$2:$E$548)&gt;5000,K282&lt;&gt;"East"),"High-Value Merchant Day","Normal")</f>
        <v>Normal</v>
      </c>
    </row>
    <row r="283">
      <c r="A283" s="2" t="s">
        <v>366</v>
      </c>
      <c r="B283" s="2">
        <v>150.0</v>
      </c>
      <c r="C283" s="2">
        <v>28.0</v>
      </c>
      <c r="D283" s="5">
        <v>46030.92291666667</v>
      </c>
      <c r="E283" s="2">
        <v>49.0</v>
      </c>
      <c r="F283" s="2" t="s">
        <v>6</v>
      </c>
      <c r="G283" s="2" t="s">
        <v>64</v>
      </c>
      <c r="H283" s="2">
        <v>0.0</v>
      </c>
      <c r="I283" s="3" t="str">
        <f>IFERROR(VLOOKUP($C283,Merchants!$A$1:$D$41,2,FALSE),"Merchant not found")</f>
        <v>Merchant_028</v>
      </c>
      <c r="J283" s="3" t="str">
        <f>IFERROR(VLOOKUP($C283,Merchants!$A$1:$D$41,3,FALSE),"Merchant not found")</f>
        <v>food_delivery</v>
      </c>
      <c r="K283" s="3" t="str">
        <f>IFERROR(VLOOKUP($C283,Merchants!$A$1:$D$41,4,FALSE),"Merchant not found")</f>
        <v>East</v>
      </c>
      <c r="L283" s="3">
        <f>IFERROR(HLOOKUP(F283,Fee_Lookup!$B$1:$E$2,2,FALSE),"Fee not found")</f>
        <v>0.5</v>
      </c>
      <c r="M283" s="3" t="str">
        <f>IF(AND(SUMIF(Transactions!$C$2:$C$548,C283,Transactions!$E$2:$E$548)&gt;5000,K283&lt;&gt;"East"),"High-Value Merchant Day","Normal")</f>
        <v>Normal</v>
      </c>
    </row>
    <row r="284">
      <c r="A284" s="2" t="s">
        <v>367</v>
      </c>
      <c r="B284" s="2">
        <v>293.0</v>
      </c>
      <c r="C284" s="2">
        <v>27.0</v>
      </c>
      <c r="D284" s="5">
        <v>46042.46875</v>
      </c>
      <c r="E284" s="2">
        <v>4999.0</v>
      </c>
      <c r="F284" s="2" t="s">
        <v>6</v>
      </c>
      <c r="G284" s="2" t="s">
        <v>36</v>
      </c>
      <c r="H284" s="2">
        <v>23.0</v>
      </c>
      <c r="I284" s="3" t="str">
        <f>IFERROR(VLOOKUP($C284,Merchants!$A$1:$D$41,2,FALSE),"Merchant not found")</f>
        <v>Merchant_027</v>
      </c>
      <c r="J284" s="3" t="str">
        <f>IFERROR(VLOOKUP($C284,Merchants!$A$1:$D$41,3,FALSE),"Merchant not found")</f>
        <v>recharge</v>
      </c>
      <c r="K284" s="3" t="str">
        <f>IFERROR(VLOOKUP($C284,Merchants!$A$1:$D$41,4,FALSE),"Merchant not found")</f>
        <v>South</v>
      </c>
      <c r="L284" s="3">
        <f>IFERROR(HLOOKUP(F284,Fee_Lookup!$B$1:$E$2,2,FALSE),"Fee not found")</f>
        <v>0.5</v>
      </c>
      <c r="M284" s="3" t="str">
        <f>IF(AND(SUMIF(Transactions!$C$2:$C$548,C284,Transactions!$E$2:$E$548)&gt;5000,K284&lt;&gt;"East"),"High-Value Merchant Day","Normal")</f>
        <v>High-Value Merchant Day</v>
      </c>
    </row>
    <row r="285">
      <c r="A285" s="2" t="s">
        <v>368</v>
      </c>
      <c r="B285" s="2">
        <v>269.0</v>
      </c>
      <c r="C285" s="2">
        <v>24.0</v>
      </c>
      <c r="D285" s="5">
        <v>46044.87847222222</v>
      </c>
      <c r="E285" s="2">
        <v>49.0</v>
      </c>
      <c r="F285" s="2" t="s">
        <v>35</v>
      </c>
      <c r="G285" s="2" t="s">
        <v>36</v>
      </c>
      <c r="H285" s="2">
        <v>8.0</v>
      </c>
      <c r="I285" s="3" t="str">
        <f>IFERROR(VLOOKUP($C285,Merchants!$A$1:$D$41,2,FALSE),"Merchant not found")</f>
        <v>Merchant_024</v>
      </c>
      <c r="J285" s="3" t="str">
        <f>IFERROR(VLOOKUP($C285,Merchants!$A$1:$D$41,3,FALSE),"Merchant not found")</f>
        <v>bill_payment</v>
      </c>
      <c r="K285" s="3" t="str">
        <f>IFERROR(VLOOKUP($C285,Merchants!$A$1:$D$41,4,FALSE),"Merchant not found")</f>
        <v>North</v>
      </c>
      <c r="L285" s="3">
        <f>IFERROR(HLOOKUP(F285,Fee_Lookup!$B$1:$E$2,2,FALSE),"Fee not found")</f>
        <v>1</v>
      </c>
      <c r="M285" s="3" t="str">
        <f>IF(AND(SUMIF(Transactions!$C$2:$C$548,C285,Transactions!$E$2:$E$548)&gt;5000,K285&lt;&gt;"East"),"High-Value Merchant Day","Normal")</f>
        <v>Normal</v>
      </c>
    </row>
    <row r="286">
      <c r="A286" s="2" t="s">
        <v>369</v>
      </c>
      <c r="B286" s="2">
        <v>260.0</v>
      </c>
      <c r="C286" s="2">
        <v>36.0</v>
      </c>
      <c r="D286" s="5">
        <v>46039.73055555556</v>
      </c>
      <c r="E286" s="2">
        <v>1499.0</v>
      </c>
      <c r="F286" s="2" t="s">
        <v>6</v>
      </c>
      <c r="G286" s="2" t="s">
        <v>36</v>
      </c>
      <c r="H286" s="2">
        <v>2.0</v>
      </c>
      <c r="I286" s="3" t="str">
        <f>IFERROR(VLOOKUP($C286,Merchants!$A$1:$D$41,2,FALSE),"Merchant not found")</f>
        <v>Merchant_036</v>
      </c>
      <c r="J286" s="3" t="str">
        <f>IFERROR(VLOOKUP($C286,Merchants!$A$1:$D$41,3,FALSE),"Merchant not found")</f>
        <v>ecommerce</v>
      </c>
      <c r="K286" s="3" t="str">
        <f>IFERROR(VLOOKUP($C286,Merchants!$A$1:$D$41,4,FALSE),"Merchant not found")</f>
        <v>East</v>
      </c>
      <c r="L286" s="3">
        <f>IFERROR(HLOOKUP(F286,Fee_Lookup!$B$1:$E$2,2,FALSE),"Fee not found")</f>
        <v>0.5</v>
      </c>
      <c r="M286" s="3" t="str">
        <f>IF(AND(SUMIF(Transactions!$C$2:$C$548,C286,Transactions!$E$2:$E$548)&gt;5000,K286&lt;&gt;"East"),"High-Value Merchant Day","Normal")</f>
        <v>Normal</v>
      </c>
    </row>
    <row r="287">
      <c r="A287" s="2" t="s">
        <v>370</v>
      </c>
      <c r="B287" s="2">
        <v>326.0</v>
      </c>
      <c r="C287" s="2">
        <v>25.0</v>
      </c>
      <c r="D287" s="5">
        <v>46035.626388888886</v>
      </c>
      <c r="E287" s="2">
        <v>49.0</v>
      </c>
      <c r="F287" s="2" t="s">
        <v>6</v>
      </c>
      <c r="G287" s="2" t="s">
        <v>36</v>
      </c>
      <c r="H287" s="2">
        <v>47.0</v>
      </c>
      <c r="I287" s="3" t="str">
        <f>IFERROR(VLOOKUP($C287,Merchants!$A$1:$D$41,2,FALSE),"Merchant not found")</f>
        <v>Merchant_025</v>
      </c>
      <c r="J287" s="3" t="str">
        <f>IFERROR(VLOOKUP($C287,Merchants!$A$1:$D$41,3,FALSE),"Merchant not found")</f>
        <v>grocery</v>
      </c>
      <c r="K287" s="3" t="str">
        <f>IFERROR(VLOOKUP($C287,Merchants!$A$1:$D$41,4,FALSE),"Merchant not found")</f>
        <v>East</v>
      </c>
      <c r="L287" s="3">
        <f>IFERROR(HLOOKUP(F287,Fee_Lookup!$B$1:$E$2,2,FALSE),"Fee not found")</f>
        <v>0.5</v>
      </c>
      <c r="M287" s="3" t="str">
        <f>IF(AND(SUMIF(Transactions!$C$2:$C$548,C287,Transactions!$E$2:$E$548)&gt;5000,K287&lt;&gt;"East"),"High-Value Merchant Day","Normal")</f>
        <v>Normal</v>
      </c>
    </row>
    <row r="288">
      <c r="A288" s="2" t="s">
        <v>371</v>
      </c>
      <c r="B288" s="2">
        <v>183.0</v>
      </c>
      <c r="C288" s="2">
        <v>5.0</v>
      </c>
      <c r="D288" s="5">
        <v>46031.959027777775</v>
      </c>
      <c r="E288" s="2">
        <v>49.0</v>
      </c>
      <c r="F288" s="2" t="s">
        <v>96</v>
      </c>
      <c r="G288" s="2" t="s">
        <v>36</v>
      </c>
      <c r="H288" s="2">
        <v>44.0</v>
      </c>
      <c r="I288" s="3" t="str">
        <f>IFERROR(VLOOKUP($C288,Merchants!$A$1:$D$41,2,FALSE),"Merchant not found")</f>
        <v>Merchant_005</v>
      </c>
      <c r="J288" s="3" t="str">
        <f>IFERROR(VLOOKUP($C288,Merchants!$A$1:$D$41,3,FALSE),"Merchant not found")</f>
        <v>food_delivery</v>
      </c>
      <c r="K288" s="3" t="str">
        <f>IFERROR(VLOOKUP($C288,Merchants!$A$1:$D$41,4,FALSE),"Merchant not found")</f>
        <v>West</v>
      </c>
      <c r="L288" s="3">
        <f>IFERROR(HLOOKUP(F288,Fee_Lookup!$B$1:$E$2,2,FALSE),"Fee not found")</f>
        <v>1.8</v>
      </c>
      <c r="M288" s="3" t="str">
        <f>IF(AND(SUMIF(Transactions!$C$2:$C$548,C288,Transactions!$E$2:$E$548)&gt;5000,K288&lt;&gt;"East"),"High-Value Merchant Day","Normal")</f>
        <v>High-Value Merchant Day</v>
      </c>
    </row>
    <row r="289">
      <c r="A289" s="2" t="s">
        <v>372</v>
      </c>
      <c r="B289" s="2">
        <v>322.0</v>
      </c>
      <c r="C289" s="2">
        <v>7.0</v>
      </c>
      <c r="D289" s="5">
        <v>46030.9875</v>
      </c>
      <c r="E289" s="2">
        <v>299.0</v>
      </c>
      <c r="F289" s="2" t="s">
        <v>6</v>
      </c>
      <c r="G289" s="2" t="s">
        <v>36</v>
      </c>
      <c r="H289" s="2">
        <v>98.0</v>
      </c>
      <c r="I289" s="3" t="str">
        <f>IFERROR(VLOOKUP($C289,Merchants!$A$1:$D$41,2,FALSE),"Merchant not found")</f>
        <v>Merchant_007</v>
      </c>
      <c r="J289" s="3" t="str">
        <f>IFERROR(VLOOKUP($C289,Merchants!$A$1:$D$41,3,FALSE),"Merchant not found")</f>
        <v>bill_payment</v>
      </c>
      <c r="K289" s="3" t="str">
        <f>IFERROR(VLOOKUP($C289,Merchants!$A$1:$D$41,4,FALSE),"Merchant not found")</f>
        <v>South</v>
      </c>
      <c r="L289" s="3">
        <f>IFERROR(HLOOKUP(F289,Fee_Lookup!$B$1:$E$2,2,FALSE),"Fee not found")</f>
        <v>0.5</v>
      </c>
      <c r="M289" s="3" t="str">
        <f>IF(AND(SUMIF(Transactions!$C$2:$C$548,C289,Transactions!$E$2:$E$548)&gt;5000,K289&lt;&gt;"East"),"High-Value Merchant Day","Normal")</f>
        <v>High-Value Merchant Day</v>
      </c>
    </row>
    <row r="290">
      <c r="A290" s="2" t="s">
        <v>373</v>
      </c>
      <c r="B290" s="2">
        <v>171.0</v>
      </c>
      <c r="C290" s="2">
        <v>9.0</v>
      </c>
      <c r="D290" s="5">
        <v>46041.99166666667</v>
      </c>
      <c r="E290" s="2">
        <v>299.0</v>
      </c>
      <c r="F290" s="2" t="s">
        <v>6</v>
      </c>
      <c r="G290" s="2" t="s">
        <v>36</v>
      </c>
      <c r="H290" s="2">
        <v>5.0</v>
      </c>
      <c r="I290" s="3" t="str">
        <f>IFERROR(VLOOKUP($C290,Merchants!$A$1:$D$41,2,FALSE),"Merchant not found")</f>
        <v>Merchant_009</v>
      </c>
      <c r="J290" s="3" t="str">
        <f>IFERROR(VLOOKUP($C290,Merchants!$A$1:$D$41,3,FALSE),"Merchant not found")</f>
        <v>entertainment</v>
      </c>
      <c r="K290" s="3" t="str">
        <f>IFERROR(VLOOKUP($C290,Merchants!$A$1:$D$41,4,FALSE),"Merchant not found")</f>
        <v>West</v>
      </c>
      <c r="L290" s="3">
        <f>IFERROR(HLOOKUP(F290,Fee_Lookup!$B$1:$E$2,2,FALSE),"Fee not found")</f>
        <v>0.5</v>
      </c>
      <c r="M290" s="3" t="str">
        <f>IF(AND(SUMIF(Transactions!$C$2:$C$548,C290,Transactions!$E$2:$E$548)&gt;5000,K290&lt;&gt;"East"),"High-Value Merchant Day","Normal")</f>
        <v>Normal</v>
      </c>
    </row>
    <row r="291">
      <c r="A291" s="2" t="s">
        <v>374</v>
      </c>
      <c r="B291" s="2">
        <v>330.0</v>
      </c>
      <c r="C291" s="2">
        <v>12.0</v>
      </c>
      <c r="D291" s="5">
        <v>46034.722916666666</v>
      </c>
      <c r="E291" s="2">
        <v>1499.0</v>
      </c>
      <c r="F291" s="2" t="s">
        <v>79</v>
      </c>
      <c r="G291" s="2" t="s">
        <v>36</v>
      </c>
      <c r="H291" s="2">
        <v>99.0</v>
      </c>
      <c r="I291" s="3" t="str">
        <f>IFERROR(VLOOKUP($C291,Merchants!$A$1:$D$41,2,FALSE),"Merchant not found")</f>
        <v>Merchant_012</v>
      </c>
      <c r="J291" s="3" t="str">
        <f>IFERROR(VLOOKUP($C291,Merchants!$A$1:$D$41,3,FALSE),"Merchant not found")</f>
        <v>food_delivery</v>
      </c>
      <c r="K291" s="3" t="str">
        <f>IFERROR(VLOOKUP($C291,Merchants!$A$1:$D$41,4,FALSE),"Merchant not found")</f>
        <v>South</v>
      </c>
      <c r="L291" s="3">
        <f>IFERROR(HLOOKUP(F291,Fee_Lookup!$B$1:$E$2,2,FALSE),"Fee not found")</f>
        <v>1.5</v>
      </c>
      <c r="M291" s="3" t="str">
        <f>IF(AND(SUMIF(Transactions!$C$2:$C$548,C291,Transactions!$E$2:$E$548)&gt;5000,K291&lt;&gt;"East"),"High-Value Merchant Day","Normal")</f>
        <v>High-Value Merchant Day</v>
      </c>
    </row>
    <row r="292">
      <c r="A292" s="2" t="s">
        <v>375</v>
      </c>
      <c r="B292" s="2">
        <v>246.0</v>
      </c>
      <c r="C292" s="2">
        <v>12.0</v>
      </c>
      <c r="D292" s="5">
        <v>46044.61388888889</v>
      </c>
      <c r="E292" s="2">
        <v>99.0</v>
      </c>
      <c r="F292" s="2" t="s">
        <v>35</v>
      </c>
      <c r="G292" s="2" t="s">
        <v>36</v>
      </c>
      <c r="H292" s="2">
        <v>17.0</v>
      </c>
      <c r="I292" s="3" t="str">
        <f>IFERROR(VLOOKUP($C292,Merchants!$A$1:$D$41,2,FALSE),"Merchant not found")</f>
        <v>Merchant_012</v>
      </c>
      <c r="J292" s="3" t="str">
        <f>IFERROR(VLOOKUP($C292,Merchants!$A$1:$D$41,3,FALSE),"Merchant not found")</f>
        <v>food_delivery</v>
      </c>
      <c r="K292" s="3" t="str">
        <f>IFERROR(VLOOKUP($C292,Merchants!$A$1:$D$41,4,FALSE),"Merchant not found")</f>
        <v>South</v>
      </c>
      <c r="L292" s="3">
        <f>IFERROR(HLOOKUP(F292,Fee_Lookup!$B$1:$E$2,2,FALSE),"Fee not found")</f>
        <v>1</v>
      </c>
      <c r="M292" s="3" t="str">
        <f>IF(AND(SUMIF(Transactions!$C$2:$C$548,C292,Transactions!$E$2:$E$548)&gt;5000,K292&lt;&gt;"East"),"High-Value Merchant Day","Normal")</f>
        <v>High-Value Merchant Day</v>
      </c>
    </row>
    <row r="293">
      <c r="A293" s="2" t="s">
        <v>376</v>
      </c>
      <c r="B293" s="2">
        <v>235.0</v>
      </c>
      <c r="C293" s="2">
        <v>3.0</v>
      </c>
      <c r="D293" s="5">
        <v>46025.950694444444</v>
      </c>
      <c r="E293" s="2">
        <v>49.0</v>
      </c>
      <c r="F293" s="2" t="s">
        <v>6</v>
      </c>
      <c r="G293" s="2" t="s">
        <v>36</v>
      </c>
      <c r="H293" s="2">
        <v>37.0</v>
      </c>
      <c r="I293" s="3" t="str">
        <f>IFERROR(VLOOKUP($C293,Merchants!$A$1:$D$41,2,FALSE),"Merchant not found")</f>
        <v>Merchant_003</v>
      </c>
      <c r="J293" s="3" t="str">
        <f>IFERROR(VLOOKUP($C293,Merchants!$A$1:$D$41,3,FALSE),"Merchant not found")</f>
        <v>entertainment</v>
      </c>
      <c r="K293" s="3" t="str">
        <f>IFERROR(VLOOKUP($C293,Merchants!$A$1:$D$41,4,FALSE),"Merchant not found")</f>
        <v>East</v>
      </c>
      <c r="L293" s="3">
        <f>IFERROR(HLOOKUP(F293,Fee_Lookup!$B$1:$E$2,2,FALSE),"Fee not found")</f>
        <v>0.5</v>
      </c>
      <c r="M293" s="3" t="str">
        <f>IF(AND(SUMIF(Transactions!$C$2:$C$548,C293,Transactions!$E$2:$E$548)&gt;5000,K293&lt;&gt;"East"),"High-Value Merchant Day","Normal")</f>
        <v>Normal</v>
      </c>
    </row>
    <row r="294">
      <c r="A294" s="2" t="s">
        <v>377</v>
      </c>
      <c r="B294" s="2">
        <v>103.0</v>
      </c>
      <c r="C294" s="2">
        <v>3.0</v>
      </c>
      <c r="D294" s="5">
        <v>46029.07638888889</v>
      </c>
      <c r="E294" s="2">
        <v>499.0</v>
      </c>
      <c r="F294" s="2" t="s">
        <v>6</v>
      </c>
      <c r="G294" s="2" t="s">
        <v>36</v>
      </c>
      <c r="H294" s="2">
        <v>40.0</v>
      </c>
      <c r="I294" s="3" t="str">
        <f>IFERROR(VLOOKUP($C294,Merchants!$A$1:$D$41,2,FALSE),"Merchant not found")</f>
        <v>Merchant_003</v>
      </c>
      <c r="J294" s="3" t="str">
        <f>IFERROR(VLOOKUP($C294,Merchants!$A$1:$D$41,3,FALSE),"Merchant not found")</f>
        <v>entertainment</v>
      </c>
      <c r="K294" s="3" t="str">
        <f>IFERROR(VLOOKUP($C294,Merchants!$A$1:$D$41,4,FALSE),"Merchant not found")</f>
        <v>East</v>
      </c>
      <c r="L294" s="3">
        <f>IFERROR(HLOOKUP(F294,Fee_Lookup!$B$1:$E$2,2,FALSE),"Fee not found")</f>
        <v>0.5</v>
      </c>
      <c r="M294" s="3" t="str">
        <f>IF(AND(SUMIF(Transactions!$C$2:$C$548,C294,Transactions!$E$2:$E$548)&gt;5000,K294&lt;&gt;"East"),"High-Value Merchant Day","Normal")</f>
        <v>Normal</v>
      </c>
    </row>
    <row r="295">
      <c r="A295" s="2" t="s">
        <v>378</v>
      </c>
      <c r="B295" s="2">
        <v>204.0</v>
      </c>
      <c r="C295" s="2">
        <v>35.0</v>
      </c>
      <c r="D295" s="5">
        <v>46052.39722222222</v>
      </c>
      <c r="E295" s="2">
        <v>99.0</v>
      </c>
      <c r="F295" s="2" t="s">
        <v>35</v>
      </c>
      <c r="G295" s="2" t="s">
        <v>36</v>
      </c>
      <c r="H295" s="2">
        <v>60.0</v>
      </c>
      <c r="I295" s="3" t="str">
        <f>IFERROR(VLOOKUP($C295,Merchants!$A$1:$D$41,2,FALSE),"Merchant not found")</f>
        <v>Merchant_035</v>
      </c>
      <c r="J295" s="3" t="str">
        <f>IFERROR(VLOOKUP($C295,Merchants!$A$1:$D$41,3,FALSE),"Merchant not found")</f>
        <v>food_delivery</v>
      </c>
      <c r="K295" s="3" t="str">
        <f>IFERROR(VLOOKUP($C295,Merchants!$A$1:$D$41,4,FALSE),"Merchant not found")</f>
        <v>South</v>
      </c>
      <c r="L295" s="3">
        <f>IFERROR(HLOOKUP(F295,Fee_Lookup!$B$1:$E$2,2,FALSE),"Fee not found")</f>
        <v>1</v>
      </c>
      <c r="M295" s="3" t="str">
        <f>IF(AND(SUMIF(Transactions!$C$2:$C$548,C295,Transactions!$E$2:$E$548)&gt;5000,K295&lt;&gt;"East"),"High-Value Merchant Day","Normal")</f>
        <v>High-Value Merchant Day</v>
      </c>
    </row>
    <row r="296">
      <c r="A296" s="2" t="s">
        <v>379</v>
      </c>
      <c r="B296" s="2">
        <v>332.0</v>
      </c>
      <c r="C296" s="2">
        <v>13.0</v>
      </c>
      <c r="D296" s="5">
        <v>46031.075</v>
      </c>
      <c r="E296" s="2">
        <v>49.0</v>
      </c>
      <c r="F296" s="2" t="s">
        <v>96</v>
      </c>
      <c r="G296" s="2" t="s">
        <v>36</v>
      </c>
      <c r="H296" s="2">
        <v>36.0</v>
      </c>
      <c r="I296" s="3" t="str">
        <f>IFERROR(VLOOKUP($C296,Merchants!$A$1:$D$41,2,FALSE),"Merchant not found")</f>
        <v>Merchant_013</v>
      </c>
      <c r="J296" s="3" t="str">
        <f>IFERROR(VLOOKUP($C296,Merchants!$A$1:$D$41,3,FALSE),"Merchant not found")</f>
        <v>ecommerce</v>
      </c>
      <c r="K296" s="3" t="str">
        <f>IFERROR(VLOOKUP($C296,Merchants!$A$1:$D$41,4,FALSE),"Merchant not found")</f>
        <v>North</v>
      </c>
      <c r="L296" s="3">
        <f>IFERROR(HLOOKUP(F296,Fee_Lookup!$B$1:$E$2,2,FALSE),"Fee not found")</f>
        <v>1.8</v>
      </c>
      <c r="M296" s="3" t="str">
        <f>IF(AND(SUMIF(Transactions!$C$2:$C$548,C296,Transactions!$E$2:$E$548)&gt;5000,K296&lt;&gt;"East"),"High-Value Merchant Day","Normal")</f>
        <v>High-Value Merchant Day</v>
      </c>
    </row>
    <row r="297">
      <c r="A297" s="2" t="s">
        <v>380</v>
      </c>
      <c r="B297" s="2">
        <v>336.0</v>
      </c>
      <c r="C297" s="2">
        <v>22.0</v>
      </c>
      <c r="D297" s="5">
        <v>46034.07986111111</v>
      </c>
      <c r="E297" s="2">
        <v>499.0</v>
      </c>
      <c r="F297" s="2" t="s">
        <v>6</v>
      </c>
      <c r="G297" s="2" t="s">
        <v>36</v>
      </c>
      <c r="H297" s="2">
        <v>34.0</v>
      </c>
      <c r="I297" s="3" t="str">
        <f>IFERROR(VLOOKUP($C297,Merchants!$A$1:$D$41,2,FALSE),"Merchant not found")</f>
        <v>Merchant_022</v>
      </c>
      <c r="J297" s="3" t="str">
        <f>IFERROR(VLOOKUP($C297,Merchants!$A$1:$D$41,3,FALSE),"Merchant not found")</f>
        <v>ecommerce</v>
      </c>
      <c r="K297" s="3" t="str">
        <f>IFERROR(VLOOKUP($C297,Merchants!$A$1:$D$41,4,FALSE),"Merchant not found")</f>
        <v>West</v>
      </c>
      <c r="L297" s="3">
        <f>IFERROR(HLOOKUP(F297,Fee_Lookup!$B$1:$E$2,2,FALSE),"Fee not found")</f>
        <v>0.5</v>
      </c>
      <c r="M297" s="3" t="str">
        <f>IF(AND(SUMIF(Transactions!$C$2:$C$548,C297,Transactions!$E$2:$E$548)&gt;5000,K297&lt;&gt;"East"),"High-Value Merchant Day","Normal")</f>
        <v>High-Value Merchant Day</v>
      </c>
    </row>
    <row r="298">
      <c r="A298" s="2" t="s">
        <v>381</v>
      </c>
      <c r="B298" s="2">
        <v>205.0</v>
      </c>
      <c r="C298" s="2">
        <v>29.0</v>
      </c>
      <c r="D298" s="5">
        <v>46026.47708333333</v>
      </c>
      <c r="E298" s="2">
        <v>99.0</v>
      </c>
      <c r="F298" s="2" t="s">
        <v>35</v>
      </c>
      <c r="G298" s="2" t="s">
        <v>36</v>
      </c>
      <c r="H298" s="2">
        <v>49.0</v>
      </c>
      <c r="I298" s="3" t="str">
        <f>IFERROR(VLOOKUP($C298,Merchants!$A$1:$D$41,2,FALSE),"Merchant not found")</f>
        <v>Merchant_029</v>
      </c>
      <c r="J298" s="3" t="str">
        <f>IFERROR(VLOOKUP($C298,Merchants!$A$1:$D$41,3,FALSE),"Merchant not found")</f>
        <v>ecommerce</v>
      </c>
      <c r="K298" s="3" t="str">
        <f>IFERROR(VLOOKUP($C298,Merchants!$A$1:$D$41,4,FALSE),"Merchant not found")</f>
        <v>North</v>
      </c>
      <c r="L298" s="3">
        <f>IFERROR(HLOOKUP(F298,Fee_Lookup!$B$1:$E$2,2,FALSE),"Fee not found")</f>
        <v>1</v>
      </c>
      <c r="M298" s="3" t="str">
        <f>IF(AND(SUMIF(Transactions!$C$2:$C$548,C298,Transactions!$E$2:$E$548)&gt;5000,K298&lt;&gt;"East"),"High-Value Merchant Day","Normal")</f>
        <v>High-Value Merchant Day</v>
      </c>
    </row>
    <row r="299">
      <c r="A299" s="2" t="s">
        <v>382</v>
      </c>
      <c r="B299" s="2">
        <v>255.0</v>
      </c>
      <c r="C299" s="2">
        <v>24.0</v>
      </c>
      <c r="D299" s="5">
        <v>46033.22986111111</v>
      </c>
      <c r="E299" s="2">
        <v>799.0</v>
      </c>
      <c r="F299" s="2" t="s">
        <v>6</v>
      </c>
      <c r="G299" s="2" t="s">
        <v>36</v>
      </c>
      <c r="H299" s="2">
        <v>66.0</v>
      </c>
      <c r="I299" s="3" t="str">
        <f>IFERROR(VLOOKUP($C299,Merchants!$A$1:$D$41,2,FALSE),"Merchant not found")</f>
        <v>Merchant_024</v>
      </c>
      <c r="J299" s="3" t="str">
        <f>IFERROR(VLOOKUP($C299,Merchants!$A$1:$D$41,3,FALSE),"Merchant not found")</f>
        <v>bill_payment</v>
      </c>
      <c r="K299" s="3" t="str">
        <f>IFERROR(VLOOKUP($C299,Merchants!$A$1:$D$41,4,FALSE),"Merchant not found")</f>
        <v>North</v>
      </c>
      <c r="L299" s="3">
        <f>IFERROR(HLOOKUP(F299,Fee_Lookup!$B$1:$E$2,2,FALSE),"Fee not found")</f>
        <v>0.5</v>
      </c>
      <c r="M299" s="3" t="str">
        <f>IF(AND(SUMIF(Transactions!$C$2:$C$548,C299,Transactions!$E$2:$E$548)&gt;5000,K299&lt;&gt;"East"),"High-Value Merchant Day","Normal")</f>
        <v>Normal</v>
      </c>
    </row>
    <row r="300">
      <c r="A300" s="2" t="s">
        <v>383</v>
      </c>
      <c r="B300" s="2">
        <v>218.0</v>
      </c>
      <c r="C300" s="2">
        <v>6.0</v>
      </c>
      <c r="D300" s="5">
        <v>46031.115277777775</v>
      </c>
      <c r="E300" s="2">
        <v>99.0</v>
      </c>
      <c r="F300" s="2" t="s">
        <v>6</v>
      </c>
      <c r="G300" s="2" t="s">
        <v>36</v>
      </c>
      <c r="H300" s="2">
        <v>55.0</v>
      </c>
      <c r="I300" s="3" t="str">
        <f>IFERROR(VLOOKUP($C300,Merchants!$A$1:$D$41,2,FALSE),"Merchant not found")</f>
        <v>Merchant_006</v>
      </c>
      <c r="J300" s="3" t="str">
        <f>IFERROR(VLOOKUP($C300,Merchants!$A$1:$D$41,3,FALSE),"Merchant not found")</f>
        <v>entertainment</v>
      </c>
      <c r="K300" s="3" t="str">
        <f>IFERROR(VLOOKUP($C300,Merchants!$A$1:$D$41,4,FALSE),"Merchant not found")</f>
        <v>South</v>
      </c>
      <c r="L300" s="3">
        <f>IFERROR(HLOOKUP(F300,Fee_Lookup!$B$1:$E$2,2,FALSE),"Fee not found")</f>
        <v>0.5</v>
      </c>
      <c r="M300" s="3" t="str">
        <f>IF(AND(SUMIF(Transactions!$C$2:$C$548,C300,Transactions!$E$2:$E$548)&gt;5000,K300&lt;&gt;"East"),"High-Value Merchant Day","Normal")</f>
        <v>High-Value Merchant Day</v>
      </c>
    </row>
    <row r="301">
      <c r="A301" s="2" t="s">
        <v>384</v>
      </c>
      <c r="B301" s="2">
        <v>151.0</v>
      </c>
      <c r="C301" s="2">
        <v>21.0</v>
      </c>
      <c r="D301" s="5">
        <v>46042.231944444444</v>
      </c>
      <c r="E301" s="2">
        <v>49.0</v>
      </c>
      <c r="F301" s="2" t="s">
        <v>6</v>
      </c>
      <c r="G301" s="2" t="s">
        <v>36</v>
      </c>
      <c r="H301" s="2">
        <v>13.0</v>
      </c>
      <c r="I301" s="3" t="str">
        <f>IFERROR(VLOOKUP($C301,Merchants!$A$1:$D$41,2,FALSE),"Merchant not found")</f>
        <v>Merchant_021</v>
      </c>
      <c r="J301" s="3" t="str">
        <f>IFERROR(VLOOKUP($C301,Merchants!$A$1:$D$41,3,FALSE),"Merchant not found")</f>
        <v>food_delivery</v>
      </c>
      <c r="K301" s="3" t="str">
        <f>IFERROR(VLOOKUP($C301,Merchants!$A$1:$D$41,4,FALSE),"Merchant not found")</f>
        <v>North</v>
      </c>
      <c r="L301" s="3">
        <f>IFERROR(HLOOKUP(F301,Fee_Lookup!$B$1:$E$2,2,FALSE),"Fee not found")</f>
        <v>0.5</v>
      </c>
      <c r="M301" s="3" t="str">
        <f>IF(AND(SUMIF(Transactions!$C$2:$C$548,C301,Transactions!$E$2:$E$548)&gt;5000,K301&lt;&gt;"East"),"High-Value Merchant Day","Normal")</f>
        <v>High-Value Merchant Day</v>
      </c>
    </row>
    <row r="302">
      <c r="A302" s="2" t="s">
        <v>385</v>
      </c>
      <c r="B302" s="2">
        <v>152.0</v>
      </c>
      <c r="C302" s="2">
        <v>20.0</v>
      </c>
      <c r="D302" s="5">
        <v>46025.44583333333</v>
      </c>
      <c r="E302" s="2">
        <v>49.0</v>
      </c>
      <c r="F302" s="2" t="s">
        <v>6</v>
      </c>
      <c r="G302" s="2" t="s">
        <v>36</v>
      </c>
      <c r="H302" s="2">
        <v>57.0</v>
      </c>
      <c r="I302" s="3" t="str">
        <f>IFERROR(VLOOKUP($C302,Merchants!$A$1:$D$41,2,FALSE),"Merchant not found")</f>
        <v>Merchant_020</v>
      </c>
      <c r="J302" s="3" t="str">
        <f>IFERROR(VLOOKUP($C302,Merchants!$A$1:$D$41,3,FALSE),"Merchant not found")</f>
        <v>entertainment</v>
      </c>
      <c r="K302" s="3" t="str">
        <f>IFERROR(VLOOKUP($C302,Merchants!$A$1:$D$41,4,FALSE),"Merchant not found")</f>
        <v>West</v>
      </c>
      <c r="L302" s="3">
        <f>IFERROR(HLOOKUP(F302,Fee_Lookup!$B$1:$E$2,2,FALSE),"Fee not found")</f>
        <v>0.5</v>
      </c>
      <c r="M302" s="3" t="str">
        <f>IF(AND(SUMIF(Transactions!$C$2:$C$548,C302,Transactions!$E$2:$E$548)&gt;5000,K302&lt;&gt;"East"),"High-Value Merchant Day","Normal")</f>
        <v>Normal</v>
      </c>
    </row>
    <row r="303">
      <c r="A303" s="2" t="s">
        <v>386</v>
      </c>
      <c r="B303" s="2">
        <v>86.0</v>
      </c>
      <c r="C303" s="2">
        <v>29.0</v>
      </c>
      <c r="D303" s="5">
        <v>46042.93541666667</v>
      </c>
      <c r="E303" s="2">
        <v>149.0</v>
      </c>
      <c r="F303" s="2" t="s">
        <v>96</v>
      </c>
      <c r="G303" s="2" t="s">
        <v>36</v>
      </c>
      <c r="H303" s="2">
        <v>44.0</v>
      </c>
      <c r="I303" s="3" t="str">
        <f>IFERROR(VLOOKUP($C303,Merchants!$A$1:$D$41,2,FALSE),"Merchant not found")</f>
        <v>Merchant_029</v>
      </c>
      <c r="J303" s="3" t="str">
        <f>IFERROR(VLOOKUP($C303,Merchants!$A$1:$D$41,3,FALSE),"Merchant not found")</f>
        <v>ecommerce</v>
      </c>
      <c r="K303" s="3" t="str">
        <f>IFERROR(VLOOKUP($C303,Merchants!$A$1:$D$41,4,FALSE),"Merchant not found")</f>
        <v>North</v>
      </c>
      <c r="L303" s="3">
        <f>IFERROR(HLOOKUP(F303,Fee_Lookup!$B$1:$E$2,2,FALSE),"Fee not found")</f>
        <v>1.8</v>
      </c>
      <c r="M303" s="3" t="str">
        <f>IF(AND(SUMIF(Transactions!$C$2:$C$548,C303,Transactions!$E$2:$E$548)&gt;5000,K303&lt;&gt;"East"),"High-Value Merchant Day","Normal")</f>
        <v>High-Value Merchant Day</v>
      </c>
    </row>
    <row r="304">
      <c r="A304" s="2" t="s">
        <v>387</v>
      </c>
      <c r="B304" s="2">
        <v>181.0</v>
      </c>
      <c r="C304" s="2">
        <v>40.0</v>
      </c>
      <c r="D304" s="5">
        <v>46037.07361111111</v>
      </c>
      <c r="E304" s="2">
        <v>149.0</v>
      </c>
      <c r="F304" s="2" t="s">
        <v>6</v>
      </c>
      <c r="G304" s="2" t="s">
        <v>36</v>
      </c>
      <c r="H304" s="2">
        <v>55.0</v>
      </c>
      <c r="I304" s="3" t="str">
        <f>IFERROR(VLOOKUP($C304,Merchants!$A$1:$D$41,2,FALSE),"Merchant not found")</f>
        <v>Merchant_040</v>
      </c>
      <c r="J304" s="3" t="str">
        <f>IFERROR(VLOOKUP($C304,Merchants!$A$1:$D$41,3,FALSE),"Merchant not found")</f>
        <v>ecommerce</v>
      </c>
      <c r="K304" s="3" t="str">
        <f>IFERROR(VLOOKUP($C304,Merchants!$A$1:$D$41,4,FALSE),"Merchant not found")</f>
        <v>North</v>
      </c>
      <c r="L304" s="3">
        <f>IFERROR(HLOOKUP(F304,Fee_Lookup!$B$1:$E$2,2,FALSE),"Fee not found")</f>
        <v>0.5</v>
      </c>
      <c r="M304" s="3" t="str">
        <f>IF(AND(SUMIF(Transactions!$C$2:$C$548,C304,Transactions!$E$2:$E$548)&gt;5000,K304&lt;&gt;"East"),"High-Value Merchant Day","Normal")</f>
        <v>High-Value Merchant Day</v>
      </c>
    </row>
    <row r="305">
      <c r="A305" s="2" t="s">
        <v>388</v>
      </c>
      <c r="B305" s="2">
        <v>30.0</v>
      </c>
      <c r="C305" s="2">
        <v>5.0</v>
      </c>
      <c r="D305" s="5">
        <v>46031.868055555555</v>
      </c>
      <c r="E305" s="2">
        <v>299.0</v>
      </c>
      <c r="F305" s="2" t="s">
        <v>6</v>
      </c>
      <c r="G305" s="2" t="s">
        <v>36</v>
      </c>
      <c r="H305" s="2">
        <v>85.0</v>
      </c>
      <c r="I305" s="3" t="str">
        <f>IFERROR(VLOOKUP($C305,Merchants!$A$1:$D$41,2,FALSE),"Merchant not found")</f>
        <v>Merchant_005</v>
      </c>
      <c r="J305" s="3" t="str">
        <f>IFERROR(VLOOKUP($C305,Merchants!$A$1:$D$41,3,FALSE),"Merchant not found")</f>
        <v>food_delivery</v>
      </c>
      <c r="K305" s="3" t="str">
        <f>IFERROR(VLOOKUP($C305,Merchants!$A$1:$D$41,4,FALSE),"Merchant not found")</f>
        <v>West</v>
      </c>
      <c r="L305" s="3">
        <f>IFERROR(HLOOKUP(F305,Fee_Lookup!$B$1:$E$2,2,FALSE),"Fee not found")</f>
        <v>0.5</v>
      </c>
      <c r="M305" s="3" t="str">
        <f>IF(AND(SUMIF(Transactions!$C$2:$C$548,C305,Transactions!$E$2:$E$548)&gt;5000,K305&lt;&gt;"East"),"High-Value Merchant Day","Normal")</f>
        <v>High-Value Merchant Day</v>
      </c>
    </row>
    <row r="306">
      <c r="A306" s="2" t="s">
        <v>389</v>
      </c>
      <c r="B306" s="2">
        <v>263.0</v>
      </c>
      <c r="C306" s="2">
        <v>11.0</v>
      </c>
      <c r="D306" s="5">
        <v>46043.51597222222</v>
      </c>
      <c r="E306" s="2">
        <v>149.0</v>
      </c>
      <c r="F306" s="2" t="s">
        <v>35</v>
      </c>
      <c r="G306" s="2" t="s">
        <v>36</v>
      </c>
      <c r="H306" s="2">
        <v>3.0</v>
      </c>
      <c r="I306" s="3" t="str">
        <f>IFERROR(VLOOKUP($C306,Merchants!$A$1:$D$41,2,FALSE),"Merchant not found")</f>
        <v>Merchant_011</v>
      </c>
      <c r="J306" s="3" t="str">
        <f>IFERROR(VLOOKUP($C306,Merchants!$A$1:$D$41,3,FALSE),"Merchant not found")</f>
        <v>recharge</v>
      </c>
      <c r="K306" s="3" t="str">
        <f>IFERROR(VLOOKUP($C306,Merchants!$A$1:$D$41,4,FALSE),"Merchant not found")</f>
        <v>West</v>
      </c>
      <c r="L306" s="3">
        <f>IFERROR(HLOOKUP(F306,Fee_Lookup!$B$1:$E$2,2,FALSE),"Fee not found")</f>
        <v>1</v>
      </c>
      <c r="M306" s="3" t="str">
        <f>IF(AND(SUMIF(Transactions!$C$2:$C$548,C306,Transactions!$E$2:$E$548)&gt;5000,K306&lt;&gt;"East"),"High-Value Merchant Day","Normal")</f>
        <v>High-Value Merchant Day</v>
      </c>
    </row>
    <row r="307">
      <c r="A307" s="2" t="s">
        <v>390</v>
      </c>
      <c r="B307" s="2">
        <v>225.0</v>
      </c>
      <c r="C307" s="2">
        <v>3.0</v>
      </c>
      <c r="D307" s="5">
        <v>46027.82152777778</v>
      </c>
      <c r="E307" s="2">
        <v>99.0</v>
      </c>
      <c r="F307" s="2" t="s">
        <v>79</v>
      </c>
      <c r="G307" s="2" t="s">
        <v>36</v>
      </c>
      <c r="H307" s="2">
        <v>16.0</v>
      </c>
      <c r="I307" s="3" t="str">
        <f>IFERROR(VLOOKUP($C307,Merchants!$A$1:$D$41,2,FALSE),"Merchant not found")</f>
        <v>Merchant_003</v>
      </c>
      <c r="J307" s="3" t="str">
        <f>IFERROR(VLOOKUP($C307,Merchants!$A$1:$D$41,3,FALSE),"Merchant not found")</f>
        <v>entertainment</v>
      </c>
      <c r="K307" s="3" t="str">
        <f>IFERROR(VLOOKUP($C307,Merchants!$A$1:$D$41,4,FALSE),"Merchant not found")</f>
        <v>East</v>
      </c>
      <c r="L307" s="3">
        <f>IFERROR(HLOOKUP(F307,Fee_Lookup!$B$1:$E$2,2,FALSE),"Fee not found")</f>
        <v>1.5</v>
      </c>
      <c r="M307" s="3" t="str">
        <f>IF(AND(SUMIF(Transactions!$C$2:$C$548,C307,Transactions!$E$2:$E$548)&gt;5000,K307&lt;&gt;"East"),"High-Value Merchant Day","Normal")</f>
        <v>Normal</v>
      </c>
    </row>
    <row r="308">
      <c r="A308" s="2" t="s">
        <v>391</v>
      </c>
      <c r="B308" s="2">
        <v>331.0</v>
      </c>
      <c r="C308" s="2">
        <v>24.0</v>
      </c>
      <c r="D308" s="5">
        <v>46025.325694444444</v>
      </c>
      <c r="E308" s="2">
        <v>49.0</v>
      </c>
      <c r="F308" s="2" t="s">
        <v>96</v>
      </c>
      <c r="G308" s="2" t="s">
        <v>36</v>
      </c>
      <c r="H308" s="2">
        <v>46.0</v>
      </c>
      <c r="I308" s="3" t="str">
        <f>IFERROR(VLOOKUP($C308,Merchants!$A$1:$D$41,2,FALSE),"Merchant not found")</f>
        <v>Merchant_024</v>
      </c>
      <c r="J308" s="3" t="str">
        <f>IFERROR(VLOOKUP($C308,Merchants!$A$1:$D$41,3,FALSE),"Merchant not found")</f>
        <v>bill_payment</v>
      </c>
      <c r="K308" s="3" t="str">
        <f>IFERROR(VLOOKUP($C308,Merchants!$A$1:$D$41,4,FALSE),"Merchant not found")</f>
        <v>North</v>
      </c>
      <c r="L308" s="3">
        <f>IFERROR(HLOOKUP(F308,Fee_Lookup!$B$1:$E$2,2,FALSE),"Fee not found")</f>
        <v>1.8</v>
      </c>
      <c r="M308" s="3" t="str">
        <f>IF(AND(SUMIF(Transactions!$C$2:$C$548,C308,Transactions!$E$2:$E$548)&gt;5000,K308&lt;&gt;"East"),"High-Value Merchant Day","Normal")</f>
        <v>Normal</v>
      </c>
    </row>
    <row r="309">
      <c r="A309" s="2" t="s">
        <v>392</v>
      </c>
      <c r="B309" s="2">
        <v>310.0</v>
      </c>
      <c r="C309" s="2">
        <v>10.0</v>
      </c>
      <c r="D309" s="5">
        <v>46035.751388888886</v>
      </c>
      <c r="E309" s="2">
        <v>1499.0</v>
      </c>
      <c r="F309" s="2" t="s">
        <v>96</v>
      </c>
      <c r="G309" s="2" t="s">
        <v>36</v>
      </c>
      <c r="H309" s="2">
        <v>86.0</v>
      </c>
      <c r="I309" s="3" t="str">
        <f>IFERROR(VLOOKUP($C309,Merchants!$A$1:$D$41,2,FALSE),"Merchant not found")</f>
        <v>Merchant_010</v>
      </c>
      <c r="J309" s="3" t="str">
        <f>IFERROR(VLOOKUP($C309,Merchants!$A$1:$D$41,3,FALSE),"Merchant not found")</f>
        <v>grocery</v>
      </c>
      <c r="K309" s="3" t="str">
        <f>IFERROR(VLOOKUP($C309,Merchants!$A$1:$D$41,4,FALSE),"Merchant not found")</f>
        <v>East</v>
      </c>
      <c r="L309" s="3">
        <f>IFERROR(HLOOKUP(F309,Fee_Lookup!$B$1:$E$2,2,FALSE),"Fee not found")</f>
        <v>1.8</v>
      </c>
      <c r="M309" s="3" t="str">
        <f>IF(AND(SUMIF(Transactions!$C$2:$C$548,C309,Transactions!$E$2:$E$548)&gt;5000,K309&lt;&gt;"East"),"High-Value Merchant Day","Normal")</f>
        <v>Normal</v>
      </c>
    </row>
    <row r="310">
      <c r="A310" s="2" t="s">
        <v>393</v>
      </c>
      <c r="B310" s="2">
        <v>228.0</v>
      </c>
      <c r="C310" s="2">
        <v>5.0</v>
      </c>
      <c r="D310" s="5">
        <v>46037.47430555556</v>
      </c>
      <c r="E310" s="2">
        <v>49.0</v>
      </c>
      <c r="F310" s="2" t="s">
        <v>6</v>
      </c>
      <c r="G310" s="2" t="s">
        <v>36</v>
      </c>
      <c r="H310" s="2">
        <v>73.0</v>
      </c>
      <c r="I310" s="3" t="str">
        <f>IFERROR(VLOOKUP($C310,Merchants!$A$1:$D$41,2,FALSE),"Merchant not found")</f>
        <v>Merchant_005</v>
      </c>
      <c r="J310" s="3" t="str">
        <f>IFERROR(VLOOKUP($C310,Merchants!$A$1:$D$41,3,FALSE),"Merchant not found")</f>
        <v>food_delivery</v>
      </c>
      <c r="K310" s="3" t="str">
        <f>IFERROR(VLOOKUP($C310,Merchants!$A$1:$D$41,4,FALSE),"Merchant not found")</f>
        <v>West</v>
      </c>
      <c r="L310" s="3">
        <f>IFERROR(HLOOKUP(F310,Fee_Lookup!$B$1:$E$2,2,FALSE),"Fee not found")</f>
        <v>0.5</v>
      </c>
      <c r="M310" s="3" t="str">
        <f>IF(AND(SUMIF(Transactions!$C$2:$C$548,C310,Transactions!$E$2:$E$548)&gt;5000,K310&lt;&gt;"East"),"High-Value Merchant Day","Normal")</f>
        <v>High-Value Merchant Day</v>
      </c>
    </row>
    <row r="311">
      <c r="A311" s="2" t="s">
        <v>394</v>
      </c>
      <c r="B311" s="2">
        <v>204.0</v>
      </c>
      <c r="C311" s="2">
        <v>21.0</v>
      </c>
      <c r="D311" s="5">
        <v>46027.68263888889</v>
      </c>
      <c r="E311" s="2">
        <v>499.0</v>
      </c>
      <c r="F311" s="2" t="s">
        <v>6</v>
      </c>
      <c r="G311" s="2" t="s">
        <v>36</v>
      </c>
      <c r="H311" s="2">
        <v>83.0</v>
      </c>
      <c r="I311" s="3" t="str">
        <f>IFERROR(VLOOKUP($C311,Merchants!$A$1:$D$41,2,FALSE),"Merchant not found")</f>
        <v>Merchant_021</v>
      </c>
      <c r="J311" s="3" t="str">
        <f>IFERROR(VLOOKUP($C311,Merchants!$A$1:$D$41,3,FALSE),"Merchant not found")</f>
        <v>food_delivery</v>
      </c>
      <c r="K311" s="3" t="str">
        <f>IFERROR(VLOOKUP($C311,Merchants!$A$1:$D$41,4,FALSE),"Merchant not found")</f>
        <v>North</v>
      </c>
      <c r="L311" s="3">
        <f>IFERROR(HLOOKUP(F311,Fee_Lookup!$B$1:$E$2,2,FALSE),"Fee not found")</f>
        <v>0.5</v>
      </c>
      <c r="M311" s="3" t="str">
        <f>IF(AND(SUMIF(Transactions!$C$2:$C$548,C311,Transactions!$E$2:$E$548)&gt;5000,K311&lt;&gt;"East"),"High-Value Merchant Day","Normal")</f>
        <v>High-Value Merchant Day</v>
      </c>
    </row>
    <row r="312">
      <c r="A312" s="2" t="s">
        <v>395</v>
      </c>
      <c r="B312" s="2">
        <v>14.0</v>
      </c>
      <c r="C312" s="2">
        <v>12.0</v>
      </c>
      <c r="D312" s="5">
        <v>46031.29652777778</v>
      </c>
      <c r="E312" s="2">
        <v>799.0</v>
      </c>
      <c r="F312" s="2" t="s">
        <v>79</v>
      </c>
      <c r="G312" s="2" t="s">
        <v>36</v>
      </c>
      <c r="H312" s="2">
        <v>63.0</v>
      </c>
      <c r="I312" s="3" t="str">
        <f>IFERROR(VLOOKUP($C312,Merchants!$A$1:$D$41,2,FALSE),"Merchant not found")</f>
        <v>Merchant_012</v>
      </c>
      <c r="J312" s="3" t="str">
        <f>IFERROR(VLOOKUP($C312,Merchants!$A$1:$D$41,3,FALSE),"Merchant not found")</f>
        <v>food_delivery</v>
      </c>
      <c r="K312" s="3" t="str">
        <f>IFERROR(VLOOKUP($C312,Merchants!$A$1:$D$41,4,FALSE),"Merchant not found")</f>
        <v>South</v>
      </c>
      <c r="L312" s="3">
        <f>IFERROR(HLOOKUP(F312,Fee_Lookup!$B$1:$E$2,2,FALSE),"Fee not found")</f>
        <v>1.5</v>
      </c>
      <c r="M312" s="3" t="str">
        <f>IF(AND(SUMIF(Transactions!$C$2:$C$548,C312,Transactions!$E$2:$E$548)&gt;5000,K312&lt;&gt;"East"),"High-Value Merchant Day","Normal")</f>
        <v>High-Value Merchant Day</v>
      </c>
    </row>
    <row r="313">
      <c r="A313" s="2" t="s">
        <v>396</v>
      </c>
      <c r="B313" s="2">
        <v>288.0</v>
      </c>
      <c r="C313" s="2">
        <v>8.0</v>
      </c>
      <c r="D313" s="5">
        <v>46039.54027777778</v>
      </c>
      <c r="E313" s="2">
        <v>49.0</v>
      </c>
      <c r="F313" s="2" t="s">
        <v>6</v>
      </c>
      <c r="G313" s="2" t="s">
        <v>36</v>
      </c>
      <c r="H313" s="2">
        <v>33.0</v>
      </c>
      <c r="I313" s="3" t="str">
        <f>IFERROR(VLOOKUP($C313,Merchants!$A$1:$D$41,2,FALSE),"Merchant not found")</f>
        <v>Merchant_008</v>
      </c>
      <c r="J313" s="3" t="str">
        <f>IFERROR(VLOOKUP($C313,Merchants!$A$1:$D$41,3,FALSE),"Merchant not found")</f>
        <v>travel</v>
      </c>
      <c r="K313" s="3" t="str">
        <f>IFERROR(VLOOKUP($C313,Merchants!$A$1:$D$41,4,FALSE),"Merchant not found")</f>
        <v>North</v>
      </c>
      <c r="L313" s="3">
        <f>IFERROR(HLOOKUP(F313,Fee_Lookup!$B$1:$E$2,2,FALSE),"Fee not found")</f>
        <v>0.5</v>
      </c>
      <c r="M313" s="3" t="str">
        <f>IF(AND(SUMIF(Transactions!$C$2:$C$548,C313,Transactions!$E$2:$E$548)&gt;5000,K313&lt;&gt;"East"),"High-Value Merchant Day","Normal")</f>
        <v>High-Value Merchant Day</v>
      </c>
    </row>
    <row r="314">
      <c r="A314" s="2" t="s">
        <v>397</v>
      </c>
      <c r="B314" s="2">
        <v>229.0</v>
      </c>
      <c r="C314" s="2">
        <v>14.0</v>
      </c>
      <c r="D314" s="5">
        <v>46047.364583333336</v>
      </c>
      <c r="E314" s="2">
        <v>1499.0</v>
      </c>
      <c r="F314" s="2" t="s">
        <v>6</v>
      </c>
      <c r="G314" s="2" t="s">
        <v>36</v>
      </c>
      <c r="H314" s="2">
        <v>78.0</v>
      </c>
      <c r="I314" s="3" t="str">
        <f>IFERROR(VLOOKUP($C314,Merchants!$A$1:$D$41,2,FALSE),"Merchant not found")</f>
        <v>Merchant_014</v>
      </c>
      <c r="J314" s="3" t="str">
        <f>IFERROR(VLOOKUP($C314,Merchants!$A$1:$D$41,3,FALSE),"Merchant not found")</f>
        <v>grocery</v>
      </c>
      <c r="K314" s="3" t="str">
        <f>IFERROR(VLOOKUP($C314,Merchants!$A$1:$D$41,4,FALSE),"Merchant not found")</f>
        <v>South</v>
      </c>
      <c r="L314" s="3">
        <f>IFERROR(HLOOKUP(F314,Fee_Lookup!$B$1:$E$2,2,FALSE),"Fee not found")</f>
        <v>0.5</v>
      </c>
      <c r="M314" s="3" t="str">
        <f>IF(AND(SUMIF(Transactions!$C$2:$C$548,C314,Transactions!$E$2:$E$548)&gt;5000,K314&lt;&gt;"East"),"High-Value Merchant Day","Normal")</f>
        <v>High-Value Merchant Day</v>
      </c>
    </row>
    <row r="315">
      <c r="A315" s="2" t="s">
        <v>398</v>
      </c>
      <c r="B315" s="2">
        <v>252.0</v>
      </c>
      <c r="C315" s="2">
        <v>13.0</v>
      </c>
      <c r="D315" s="5">
        <v>46032.95694444444</v>
      </c>
      <c r="E315" s="2">
        <v>99.0</v>
      </c>
      <c r="F315" s="2" t="s">
        <v>35</v>
      </c>
      <c r="G315" s="2" t="s">
        <v>36</v>
      </c>
      <c r="H315" s="2">
        <v>15.0</v>
      </c>
      <c r="I315" s="3" t="str">
        <f>IFERROR(VLOOKUP($C315,Merchants!$A$1:$D$41,2,FALSE),"Merchant not found")</f>
        <v>Merchant_013</v>
      </c>
      <c r="J315" s="3" t="str">
        <f>IFERROR(VLOOKUP($C315,Merchants!$A$1:$D$41,3,FALSE),"Merchant not found")</f>
        <v>ecommerce</v>
      </c>
      <c r="K315" s="3" t="str">
        <f>IFERROR(VLOOKUP($C315,Merchants!$A$1:$D$41,4,FALSE),"Merchant not found")</f>
        <v>North</v>
      </c>
      <c r="L315" s="3">
        <f>IFERROR(HLOOKUP(F315,Fee_Lookup!$B$1:$E$2,2,FALSE),"Fee not found")</f>
        <v>1</v>
      </c>
      <c r="M315" s="3" t="str">
        <f>IF(AND(SUMIF(Transactions!$C$2:$C$548,C315,Transactions!$E$2:$E$548)&gt;5000,K315&lt;&gt;"East"),"High-Value Merchant Day","Normal")</f>
        <v>High-Value Merchant Day</v>
      </c>
    </row>
    <row r="316">
      <c r="A316" s="2" t="s">
        <v>399</v>
      </c>
      <c r="B316" s="2">
        <v>89.0</v>
      </c>
      <c r="C316" s="2">
        <v>29.0</v>
      </c>
      <c r="D316" s="5">
        <v>46027.10277777778</v>
      </c>
      <c r="E316" s="2">
        <v>799.0</v>
      </c>
      <c r="F316" s="2" t="s">
        <v>6</v>
      </c>
      <c r="G316" s="2" t="s">
        <v>36</v>
      </c>
      <c r="H316" s="2">
        <v>11.0</v>
      </c>
      <c r="I316" s="3" t="str">
        <f>IFERROR(VLOOKUP($C316,Merchants!$A$1:$D$41,2,FALSE),"Merchant not found")</f>
        <v>Merchant_029</v>
      </c>
      <c r="J316" s="3" t="str">
        <f>IFERROR(VLOOKUP($C316,Merchants!$A$1:$D$41,3,FALSE),"Merchant not found")</f>
        <v>ecommerce</v>
      </c>
      <c r="K316" s="3" t="str">
        <f>IFERROR(VLOOKUP($C316,Merchants!$A$1:$D$41,4,FALSE),"Merchant not found")</f>
        <v>North</v>
      </c>
      <c r="L316" s="3">
        <f>IFERROR(HLOOKUP(F316,Fee_Lookup!$B$1:$E$2,2,FALSE),"Fee not found")</f>
        <v>0.5</v>
      </c>
      <c r="M316" s="3" t="str">
        <f>IF(AND(SUMIF(Transactions!$C$2:$C$548,C316,Transactions!$E$2:$E$548)&gt;5000,K316&lt;&gt;"East"),"High-Value Merchant Day","Normal")</f>
        <v>High-Value Merchant Day</v>
      </c>
    </row>
    <row r="317">
      <c r="A317" s="2" t="s">
        <v>400</v>
      </c>
      <c r="B317" s="2">
        <v>164.0</v>
      </c>
      <c r="C317" s="2">
        <v>23.0</v>
      </c>
      <c r="D317" s="5">
        <v>46048.9125</v>
      </c>
      <c r="E317" s="2">
        <v>49.0</v>
      </c>
      <c r="F317" s="2" t="s">
        <v>79</v>
      </c>
      <c r="G317" s="2" t="s">
        <v>36</v>
      </c>
      <c r="H317" s="2">
        <v>90.0</v>
      </c>
      <c r="I317" s="3" t="str">
        <f>IFERROR(VLOOKUP($C317,Merchants!$A$1:$D$41,2,FALSE),"Merchant not found")</f>
        <v>Merchant_023</v>
      </c>
      <c r="J317" s="3" t="str">
        <f>IFERROR(VLOOKUP($C317,Merchants!$A$1:$D$41,3,FALSE),"Merchant not found")</f>
        <v>travel</v>
      </c>
      <c r="K317" s="3" t="str">
        <f>IFERROR(VLOOKUP($C317,Merchants!$A$1:$D$41,4,FALSE),"Merchant not found")</f>
        <v>South</v>
      </c>
      <c r="L317" s="3">
        <f>IFERROR(HLOOKUP(F317,Fee_Lookup!$B$1:$E$2,2,FALSE),"Fee not found")</f>
        <v>1.5</v>
      </c>
      <c r="M317" s="3" t="str">
        <f>IF(AND(SUMIF(Transactions!$C$2:$C$548,C317,Transactions!$E$2:$E$548)&gt;5000,K317&lt;&gt;"East"),"High-Value Merchant Day","Normal")</f>
        <v>Normal</v>
      </c>
    </row>
    <row r="318">
      <c r="A318" s="2" t="s">
        <v>401</v>
      </c>
      <c r="B318" s="2">
        <v>149.0</v>
      </c>
      <c r="C318" s="2">
        <v>20.0</v>
      </c>
      <c r="D318" s="5">
        <v>46025.731944444444</v>
      </c>
      <c r="E318" s="2">
        <v>299.0</v>
      </c>
      <c r="F318" s="2" t="s">
        <v>35</v>
      </c>
      <c r="G318" s="2" t="s">
        <v>36</v>
      </c>
      <c r="H318" s="2">
        <v>20.0</v>
      </c>
      <c r="I318" s="3" t="str">
        <f>IFERROR(VLOOKUP($C318,Merchants!$A$1:$D$41,2,FALSE),"Merchant not found")</f>
        <v>Merchant_020</v>
      </c>
      <c r="J318" s="3" t="str">
        <f>IFERROR(VLOOKUP($C318,Merchants!$A$1:$D$41,3,FALSE),"Merchant not found")</f>
        <v>entertainment</v>
      </c>
      <c r="K318" s="3" t="str">
        <f>IFERROR(VLOOKUP($C318,Merchants!$A$1:$D$41,4,FALSE),"Merchant not found")</f>
        <v>West</v>
      </c>
      <c r="L318" s="3">
        <f>IFERROR(HLOOKUP(F318,Fee_Lookup!$B$1:$E$2,2,FALSE),"Fee not found")</f>
        <v>1</v>
      </c>
      <c r="M318" s="3" t="str">
        <f>IF(AND(SUMIF(Transactions!$C$2:$C$548,C318,Transactions!$E$2:$E$548)&gt;5000,K318&lt;&gt;"East"),"High-Value Merchant Day","Normal")</f>
        <v>Normal</v>
      </c>
    </row>
    <row r="319">
      <c r="A319" s="2" t="s">
        <v>402</v>
      </c>
      <c r="B319" s="2">
        <v>327.0</v>
      </c>
      <c r="C319" s="2">
        <v>12.0</v>
      </c>
      <c r="D319" s="5">
        <v>46045.95763888889</v>
      </c>
      <c r="E319" s="2">
        <v>49.0</v>
      </c>
      <c r="F319" s="2" t="s">
        <v>79</v>
      </c>
      <c r="G319" s="2" t="s">
        <v>36</v>
      </c>
      <c r="H319" s="2">
        <v>46.0</v>
      </c>
      <c r="I319" s="3" t="str">
        <f>IFERROR(VLOOKUP($C319,Merchants!$A$1:$D$41,2,FALSE),"Merchant not found")</f>
        <v>Merchant_012</v>
      </c>
      <c r="J319" s="3" t="str">
        <f>IFERROR(VLOOKUP($C319,Merchants!$A$1:$D$41,3,FALSE),"Merchant not found")</f>
        <v>food_delivery</v>
      </c>
      <c r="K319" s="3" t="str">
        <f>IFERROR(VLOOKUP($C319,Merchants!$A$1:$D$41,4,FALSE),"Merchant not found")</f>
        <v>South</v>
      </c>
      <c r="L319" s="3">
        <f>IFERROR(HLOOKUP(F319,Fee_Lookup!$B$1:$E$2,2,FALSE),"Fee not found")</f>
        <v>1.5</v>
      </c>
      <c r="M319" s="3" t="str">
        <f>IF(AND(SUMIF(Transactions!$C$2:$C$548,C319,Transactions!$E$2:$E$548)&gt;5000,K319&lt;&gt;"East"),"High-Value Merchant Day","Normal")</f>
        <v>High-Value Merchant Day</v>
      </c>
    </row>
    <row r="320">
      <c r="A320" s="2" t="s">
        <v>403</v>
      </c>
      <c r="B320" s="2">
        <v>103.0</v>
      </c>
      <c r="C320" s="2">
        <v>9.0</v>
      </c>
      <c r="D320" s="5">
        <v>46039.29652777778</v>
      </c>
      <c r="E320" s="2">
        <v>149.0</v>
      </c>
      <c r="F320" s="2" t="s">
        <v>6</v>
      </c>
      <c r="G320" s="2" t="s">
        <v>36</v>
      </c>
      <c r="H320" s="2">
        <v>30.0</v>
      </c>
      <c r="I320" s="3" t="str">
        <f>IFERROR(VLOOKUP($C320,Merchants!$A$1:$D$41,2,FALSE),"Merchant not found")</f>
        <v>Merchant_009</v>
      </c>
      <c r="J320" s="3" t="str">
        <f>IFERROR(VLOOKUP($C320,Merchants!$A$1:$D$41,3,FALSE),"Merchant not found")</f>
        <v>entertainment</v>
      </c>
      <c r="K320" s="3" t="str">
        <f>IFERROR(VLOOKUP($C320,Merchants!$A$1:$D$41,4,FALSE),"Merchant not found")</f>
        <v>West</v>
      </c>
      <c r="L320" s="3">
        <f>IFERROR(HLOOKUP(F320,Fee_Lookup!$B$1:$E$2,2,FALSE),"Fee not found")</f>
        <v>0.5</v>
      </c>
      <c r="M320" s="3" t="str">
        <f>IF(AND(SUMIF(Transactions!$C$2:$C$548,C320,Transactions!$E$2:$E$548)&gt;5000,K320&lt;&gt;"East"),"High-Value Merchant Day","Normal")</f>
        <v>Normal</v>
      </c>
    </row>
    <row r="321">
      <c r="A321" s="2" t="s">
        <v>404</v>
      </c>
      <c r="B321" s="2">
        <v>185.0</v>
      </c>
      <c r="C321" s="2">
        <v>36.0</v>
      </c>
      <c r="D321" s="5">
        <v>46048.62569444445</v>
      </c>
      <c r="E321" s="2">
        <v>49.0</v>
      </c>
      <c r="F321" s="2" t="s">
        <v>35</v>
      </c>
      <c r="G321" s="2" t="s">
        <v>36</v>
      </c>
      <c r="H321" s="2">
        <v>73.0</v>
      </c>
      <c r="I321" s="3" t="str">
        <f>IFERROR(VLOOKUP($C321,Merchants!$A$1:$D$41,2,FALSE),"Merchant not found")</f>
        <v>Merchant_036</v>
      </c>
      <c r="J321" s="3" t="str">
        <f>IFERROR(VLOOKUP($C321,Merchants!$A$1:$D$41,3,FALSE),"Merchant not found")</f>
        <v>ecommerce</v>
      </c>
      <c r="K321" s="3" t="str">
        <f>IFERROR(VLOOKUP($C321,Merchants!$A$1:$D$41,4,FALSE),"Merchant not found")</f>
        <v>East</v>
      </c>
      <c r="L321" s="3">
        <f>IFERROR(HLOOKUP(F321,Fee_Lookup!$B$1:$E$2,2,FALSE),"Fee not found")</f>
        <v>1</v>
      </c>
      <c r="M321" s="3" t="str">
        <f>IF(AND(SUMIF(Transactions!$C$2:$C$548,C321,Transactions!$E$2:$E$548)&gt;5000,K321&lt;&gt;"East"),"High-Value Merchant Day","Normal")</f>
        <v>Normal</v>
      </c>
    </row>
    <row r="322">
      <c r="A322" s="2" t="s">
        <v>405</v>
      </c>
      <c r="B322" s="2">
        <v>283.0</v>
      </c>
      <c r="C322" s="2">
        <v>9.0</v>
      </c>
      <c r="D322" s="5">
        <v>46034.61875</v>
      </c>
      <c r="E322" s="2">
        <v>299.0</v>
      </c>
      <c r="F322" s="2" t="s">
        <v>6</v>
      </c>
      <c r="G322" s="2" t="s">
        <v>36</v>
      </c>
      <c r="H322" s="2">
        <v>78.0</v>
      </c>
      <c r="I322" s="3" t="str">
        <f>IFERROR(VLOOKUP($C322,Merchants!$A$1:$D$41,2,FALSE),"Merchant not found")</f>
        <v>Merchant_009</v>
      </c>
      <c r="J322" s="3" t="str">
        <f>IFERROR(VLOOKUP($C322,Merchants!$A$1:$D$41,3,FALSE),"Merchant not found")</f>
        <v>entertainment</v>
      </c>
      <c r="K322" s="3" t="str">
        <f>IFERROR(VLOOKUP($C322,Merchants!$A$1:$D$41,4,FALSE),"Merchant not found")</f>
        <v>West</v>
      </c>
      <c r="L322" s="3">
        <f>IFERROR(HLOOKUP(F322,Fee_Lookup!$B$1:$E$2,2,FALSE),"Fee not found")</f>
        <v>0.5</v>
      </c>
      <c r="M322" s="3" t="str">
        <f>IF(AND(SUMIF(Transactions!$C$2:$C$548,C322,Transactions!$E$2:$E$548)&gt;5000,K322&lt;&gt;"East"),"High-Value Merchant Day","Normal")</f>
        <v>Normal</v>
      </c>
    </row>
    <row r="323">
      <c r="A323" s="2" t="s">
        <v>406</v>
      </c>
      <c r="B323" s="2">
        <v>159.0</v>
      </c>
      <c r="C323" s="2">
        <v>26.0</v>
      </c>
      <c r="D323" s="5">
        <v>46051.08611111111</v>
      </c>
      <c r="E323" s="2">
        <v>99.0</v>
      </c>
      <c r="F323" s="2" t="s">
        <v>6</v>
      </c>
      <c r="G323" s="2" t="s">
        <v>36</v>
      </c>
      <c r="H323" s="2">
        <v>91.0</v>
      </c>
      <c r="I323" s="3" t="str">
        <f>IFERROR(VLOOKUP($C323,Merchants!$A$1:$D$41,2,FALSE),"Merchant not found")</f>
        <v>Merchant_026</v>
      </c>
      <c r="J323" s="3" t="str">
        <f>IFERROR(VLOOKUP($C323,Merchants!$A$1:$D$41,3,FALSE),"Merchant not found")</f>
        <v>entertainment</v>
      </c>
      <c r="K323" s="3" t="str">
        <f>IFERROR(VLOOKUP($C323,Merchants!$A$1:$D$41,4,FALSE),"Merchant not found")</f>
        <v>West</v>
      </c>
      <c r="L323" s="3">
        <f>IFERROR(HLOOKUP(F323,Fee_Lookup!$B$1:$E$2,2,FALSE),"Fee not found")</f>
        <v>0.5</v>
      </c>
      <c r="M323" s="3" t="str">
        <f>IF(AND(SUMIF(Transactions!$C$2:$C$548,C323,Transactions!$E$2:$E$548)&gt;5000,K323&lt;&gt;"East"),"High-Value Merchant Day","Normal")</f>
        <v>High-Value Merchant Day</v>
      </c>
    </row>
    <row r="324">
      <c r="A324" s="2" t="s">
        <v>407</v>
      </c>
      <c r="B324" s="2">
        <v>211.0</v>
      </c>
      <c r="C324" s="2">
        <v>27.0</v>
      </c>
      <c r="D324" s="5">
        <v>46046.64791666667</v>
      </c>
      <c r="E324" s="2">
        <v>99.0</v>
      </c>
      <c r="F324" s="2" t="s">
        <v>35</v>
      </c>
      <c r="G324" s="2" t="s">
        <v>36</v>
      </c>
      <c r="H324" s="2">
        <v>73.0</v>
      </c>
      <c r="I324" s="3" t="str">
        <f>IFERROR(VLOOKUP($C324,Merchants!$A$1:$D$41,2,FALSE),"Merchant not found")</f>
        <v>Merchant_027</v>
      </c>
      <c r="J324" s="3" t="str">
        <f>IFERROR(VLOOKUP($C324,Merchants!$A$1:$D$41,3,FALSE),"Merchant not found")</f>
        <v>recharge</v>
      </c>
      <c r="K324" s="3" t="str">
        <f>IFERROR(VLOOKUP($C324,Merchants!$A$1:$D$41,4,FALSE),"Merchant not found")</f>
        <v>South</v>
      </c>
      <c r="L324" s="3">
        <f>IFERROR(HLOOKUP(F324,Fee_Lookup!$B$1:$E$2,2,FALSE),"Fee not found")</f>
        <v>1</v>
      </c>
      <c r="M324" s="3" t="str">
        <f>IF(AND(SUMIF(Transactions!$C$2:$C$548,C324,Transactions!$E$2:$E$548)&gt;5000,K324&lt;&gt;"East"),"High-Value Merchant Day","Normal")</f>
        <v>High-Value Merchant Day</v>
      </c>
    </row>
    <row r="325">
      <c r="A325" s="2" t="s">
        <v>408</v>
      </c>
      <c r="B325" s="2">
        <v>329.0</v>
      </c>
      <c r="C325" s="2">
        <v>5.0</v>
      </c>
      <c r="D325" s="5">
        <v>46025.180555555555</v>
      </c>
      <c r="E325" s="2">
        <v>499.0</v>
      </c>
      <c r="F325" s="2" t="s">
        <v>79</v>
      </c>
      <c r="G325" s="2" t="s">
        <v>36</v>
      </c>
      <c r="H325" s="2">
        <v>57.0</v>
      </c>
      <c r="I325" s="3" t="str">
        <f>IFERROR(VLOOKUP($C325,Merchants!$A$1:$D$41,2,FALSE),"Merchant not found")</f>
        <v>Merchant_005</v>
      </c>
      <c r="J325" s="3" t="str">
        <f>IFERROR(VLOOKUP($C325,Merchants!$A$1:$D$41,3,FALSE),"Merchant not found")</f>
        <v>food_delivery</v>
      </c>
      <c r="K325" s="3" t="str">
        <f>IFERROR(VLOOKUP($C325,Merchants!$A$1:$D$41,4,FALSE),"Merchant not found")</f>
        <v>West</v>
      </c>
      <c r="L325" s="3">
        <f>IFERROR(HLOOKUP(F325,Fee_Lookup!$B$1:$E$2,2,FALSE),"Fee not found")</f>
        <v>1.5</v>
      </c>
      <c r="M325" s="3" t="str">
        <f>IF(AND(SUMIF(Transactions!$C$2:$C$548,C325,Transactions!$E$2:$E$548)&gt;5000,K325&lt;&gt;"East"),"High-Value Merchant Day","Normal")</f>
        <v>High-Value Merchant Day</v>
      </c>
    </row>
    <row r="326">
      <c r="A326" s="2" t="s">
        <v>409</v>
      </c>
      <c r="B326" s="2">
        <v>177.0</v>
      </c>
      <c r="C326" s="2">
        <v>9.0</v>
      </c>
      <c r="D326" s="5">
        <v>46037.89791666667</v>
      </c>
      <c r="E326" s="2">
        <v>99.0</v>
      </c>
      <c r="F326" s="2" t="s">
        <v>6</v>
      </c>
      <c r="G326" s="2" t="s">
        <v>36</v>
      </c>
      <c r="H326" s="2">
        <v>99.0</v>
      </c>
      <c r="I326" s="3" t="str">
        <f>IFERROR(VLOOKUP($C326,Merchants!$A$1:$D$41,2,FALSE),"Merchant not found")</f>
        <v>Merchant_009</v>
      </c>
      <c r="J326" s="3" t="str">
        <f>IFERROR(VLOOKUP($C326,Merchants!$A$1:$D$41,3,FALSE),"Merchant not found")</f>
        <v>entertainment</v>
      </c>
      <c r="K326" s="3" t="str">
        <f>IFERROR(VLOOKUP($C326,Merchants!$A$1:$D$41,4,FALSE),"Merchant not found")</f>
        <v>West</v>
      </c>
      <c r="L326" s="3">
        <f>IFERROR(HLOOKUP(F326,Fee_Lookup!$B$1:$E$2,2,FALSE),"Fee not found")</f>
        <v>0.5</v>
      </c>
      <c r="M326" s="3" t="str">
        <f>IF(AND(SUMIF(Transactions!$C$2:$C$548,C326,Transactions!$E$2:$E$548)&gt;5000,K326&lt;&gt;"East"),"High-Value Merchant Day","Normal")</f>
        <v>Normal</v>
      </c>
    </row>
    <row r="327">
      <c r="A327" s="2" t="s">
        <v>410</v>
      </c>
      <c r="B327" s="2">
        <v>94.0</v>
      </c>
      <c r="C327" s="2">
        <v>9.0</v>
      </c>
      <c r="D327" s="5">
        <v>46040.85902777778</v>
      </c>
      <c r="E327" s="2">
        <v>299.0</v>
      </c>
      <c r="F327" s="2" t="s">
        <v>6</v>
      </c>
      <c r="G327" s="2" t="s">
        <v>36</v>
      </c>
      <c r="H327" s="2">
        <v>55.0</v>
      </c>
      <c r="I327" s="3" t="str">
        <f>IFERROR(VLOOKUP($C327,Merchants!$A$1:$D$41,2,FALSE),"Merchant not found")</f>
        <v>Merchant_009</v>
      </c>
      <c r="J327" s="3" t="str">
        <f>IFERROR(VLOOKUP($C327,Merchants!$A$1:$D$41,3,FALSE),"Merchant not found")</f>
        <v>entertainment</v>
      </c>
      <c r="K327" s="3" t="str">
        <f>IFERROR(VLOOKUP($C327,Merchants!$A$1:$D$41,4,FALSE),"Merchant not found")</f>
        <v>West</v>
      </c>
      <c r="L327" s="3">
        <f>IFERROR(HLOOKUP(F327,Fee_Lookup!$B$1:$E$2,2,FALSE),"Fee not found")</f>
        <v>0.5</v>
      </c>
      <c r="M327" s="3" t="str">
        <f>IF(AND(SUMIF(Transactions!$C$2:$C$548,C327,Transactions!$E$2:$E$548)&gt;5000,K327&lt;&gt;"East"),"High-Value Merchant Day","Normal")</f>
        <v>Normal</v>
      </c>
    </row>
    <row r="328">
      <c r="A328" s="2" t="s">
        <v>411</v>
      </c>
      <c r="B328" s="2">
        <v>64.0</v>
      </c>
      <c r="C328" s="2">
        <v>34.0</v>
      </c>
      <c r="D328" s="5">
        <v>46039.07847222222</v>
      </c>
      <c r="E328" s="2">
        <v>299.0</v>
      </c>
      <c r="F328" s="2" t="s">
        <v>6</v>
      </c>
      <c r="G328" s="2" t="s">
        <v>36</v>
      </c>
      <c r="H328" s="2">
        <v>19.0</v>
      </c>
      <c r="I328" s="3" t="str">
        <f>IFERROR(VLOOKUP($C328,Merchants!$A$1:$D$41,2,FALSE),"Merchant not found")</f>
        <v>Merchant_034</v>
      </c>
      <c r="J328" s="3" t="str">
        <f>IFERROR(VLOOKUP($C328,Merchants!$A$1:$D$41,3,FALSE),"Merchant not found")</f>
        <v>recharge</v>
      </c>
      <c r="K328" s="3" t="str">
        <f>IFERROR(VLOOKUP($C328,Merchants!$A$1:$D$41,4,FALSE),"Merchant not found")</f>
        <v>West</v>
      </c>
      <c r="L328" s="3">
        <f>IFERROR(HLOOKUP(F328,Fee_Lookup!$B$1:$E$2,2,FALSE),"Fee not found")</f>
        <v>0.5</v>
      </c>
      <c r="M328" s="3" t="str">
        <f>IF(AND(SUMIF(Transactions!$C$2:$C$548,C328,Transactions!$E$2:$E$548)&gt;5000,K328&lt;&gt;"East"),"High-Value Merchant Day","Normal")</f>
        <v>High-Value Merchant Day</v>
      </c>
    </row>
    <row r="329">
      <c r="A329" s="2" t="s">
        <v>412</v>
      </c>
      <c r="B329" s="2">
        <v>166.0</v>
      </c>
      <c r="C329" s="2">
        <v>15.0</v>
      </c>
      <c r="D329" s="5">
        <v>46032.21527777778</v>
      </c>
      <c r="E329" s="2">
        <v>49.0</v>
      </c>
      <c r="F329" s="2" t="s">
        <v>6</v>
      </c>
      <c r="G329" s="2" t="s">
        <v>36</v>
      </c>
      <c r="H329" s="2">
        <v>44.0</v>
      </c>
      <c r="I329" s="3" t="str">
        <f>IFERROR(VLOOKUP($C329,Merchants!$A$1:$D$41,2,FALSE),"Merchant not found")</f>
        <v>Merchant_015</v>
      </c>
      <c r="J329" s="3" t="str">
        <f>IFERROR(VLOOKUP($C329,Merchants!$A$1:$D$41,3,FALSE),"Merchant not found")</f>
        <v>travel</v>
      </c>
      <c r="K329" s="3" t="str">
        <f>IFERROR(VLOOKUP($C329,Merchants!$A$1:$D$41,4,FALSE),"Merchant not found")</f>
        <v>West</v>
      </c>
      <c r="L329" s="3">
        <f>IFERROR(HLOOKUP(F329,Fee_Lookup!$B$1:$E$2,2,FALSE),"Fee not found")</f>
        <v>0.5</v>
      </c>
      <c r="M329" s="3" t="str">
        <f>IF(AND(SUMIF(Transactions!$C$2:$C$548,C329,Transactions!$E$2:$E$548)&gt;5000,K329&lt;&gt;"East"),"High-Value Merchant Day","Normal")</f>
        <v>High-Value Merchant Day</v>
      </c>
    </row>
    <row r="330">
      <c r="A330" s="2" t="s">
        <v>413</v>
      </c>
      <c r="B330" s="2">
        <v>41.0</v>
      </c>
      <c r="C330" s="2">
        <v>17.0</v>
      </c>
      <c r="D330" s="5">
        <v>46039.4125</v>
      </c>
      <c r="E330" s="2">
        <v>299.0</v>
      </c>
      <c r="F330" s="2" t="s">
        <v>35</v>
      </c>
      <c r="G330" s="2" t="s">
        <v>36</v>
      </c>
      <c r="H330" s="2">
        <v>25.0</v>
      </c>
      <c r="I330" s="3" t="str">
        <f>IFERROR(VLOOKUP($C330,Merchants!$A$1:$D$41,2,FALSE),"Merchant not found")</f>
        <v>Merchant_017</v>
      </c>
      <c r="J330" s="3" t="str">
        <f>IFERROR(VLOOKUP($C330,Merchants!$A$1:$D$41,3,FALSE),"Merchant not found")</f>
        <v>bill_payment</v>
      </c>
      <c r="K330" s="3" t="str">
        <f>IFERROR(VLOOKUP($C330,Merchants!$A$1:$D$41,4,FALSE),"Merchant not found")</f>
        <v>East</v>
      </c>
      <c r="L330" s="3">
        <f>IFERROR(HLOOKUP(F330,Fee_Lookup!$B$1:$E$2,2,FALSE),"Fee not found")</f>
        <v>1</v>
      </c>
      <c r="M330" s="3" t="str">
        <f>IF(AND(SUMIF(Transactions!$C$2:$C$548,C330,Transactions!$E$2:$E$548)&gt;5000,K330&lt;&gt;"East"),"High-Value Merchant Day","Normal")</f>
        <v>Normal</v>
      </c>
    </row>
    <row r="331">
      <c r="A331" s="2" t="s">
        <v>414</v>
      </c>
      <c r="B331" s="2">
        <v>65.0</v>
      </c>
      <c r="C331" s="2">
        <v>20.0</v>
      </c>
      <c r="D331" s="5">
        <v>46043.720138888886</v>
      </c>
      <c r="E331" s="2">
        <v>99.0</v>
      </c>
      <c r="F331" s="2" t="s">
        <v>96</v>
      </c>
      <c r="G331" s="2" t="s">
        <v>36</v>
      </c>
      <c r="H331" s="2">
        <v>78.0</v>
      </c>
      <c r="I331" s="3" t="str">
        <f>IFERROR(VLOOKUP($C331,Merchants!$A$1:$D$41,2,FALSE),"Merchant not found")</f>
        <v>Merchant_020</v>
      </c>
      <c r="J331" s="3" t="str">
        <f>IFERROR(VLOOKUP($C331,Merchants!$A$1:$D$41,3,FALSE),"Merchant not found")</f>
        <v>entertainment</v>
      </c>
      <c r="K331" s="3" t="str">
        <f>IFERROR(VLOOKUP($C331,Merchants!$A$1:$D$41,4,FALSE),"Merchant not found")</f>
        <v>West</v>
      </c>
      <c r="L331" s="3">
        <f>IFERROR(HLOOKUP(F331,Fee_Lookup!$B$1:$E$2,2,FALSE),"Fee not found")</f>
        <v>1.8</v>
      </c>
      <c r="M331" s="3" t="str">
        <f>IF(AND(SUMIF(Transactions!$C$2:$C$548,C331,Transactions!$E$2:$E$548)&gt;5000,K331&lt;&gt;"East"),"High-Value Merchant Day","Normal")</f>
        <v>Normal</v>
      </c>
    </row>
    <row r="332">
      <c r="A332" s="2" t="s">
        <v>415</v>
      </c>
      <c r="B332" s="2">
        <v>329.0</v>
      </c>
      <c r="C332" s="2">
        <v>11.0</v>
      </c>
      <c r="D332" s="5">
        <v>46040.10555555556</v>
      </c>
      <c r="E332" s="2">
        <v>499.0</v>
      </c>
      <c r="F332" s="2" t="s">
        <v>6</v>
      </c>
      <c r="G332" s="2" t="s">
        <v>36</v>
      </c>
      <c r="H332" s="2">
        <v>75.0</v>
      </c>
      <c r="I332" s="3" t="str">
        <f>IFERROR(VLOOKUP($C332,Merchants!$A$1:$D$41,2,FALSE),"Merchant not found")</f>
        <v>Merchant_011</v>
      </c>
      <c r="J332" s="3" t="str">
        <f>IFERROR(VLOOKUP($C332,Merchants!$A$1:$D$41,3,FALSE),"Merchant not found")</f>
        <v>recharge</v>
      </c>
      <c r="K332" s="3" t="str">
        <f>IFERROR(VLOOKUP($C332,Merchants!$A$1:$D$41,4,FALSE),"Merchant not found")</f>
        <v>West</v>
      </c>
      <c r="L332" s="3">
        <f>IFERROR(HLOOKUP(F332,Fee_Lookup!$B$1:$E$2,2,FALSE),"Fee not found")</f>
        <v>0.5</v>
      </c>
      <c r="M332" s="3" t="str">
        <f>IF(AND(SUMIF(Transactions!$C$2:$C$548,C332,Transactions!$E$2:$E$548)&gt;5000,K332&lt;&gt;"East"),"High-Value Merchant Day","Normal")</f>
        <v>High-Value Merchant Day</v>
      </c>
    </row>
    <row r="333">
      <c r="A333" s="2" t="s">
        <v>416</v>
      </c>
      <c r="B333" s="2">
        <v>338.0</v>
      </c>
      <c r="C333" s="2">
        <v>40.0</v>
      </c>
      <c r="D333" s="5">
        <v>46041.17361111111</v>
      </c>
      <c r="E333" s="2">
        <v>149.0</v>
      </c>
      <c r="F333" s="2" t="s">
        <v>6</v>
      </c>
      <c r="G333" s="2" t="s">
        <v>36</v>
      </c>
      <c r="H333" s="2">
        <v>92.0</v>
      </c>
      <c r="I333" s="3" t="str">
        <f>IFERROR(VLOOKUP($C333,Merchants!$A$1:$D$41,2,FALSE),"Merchant not found")</f>
        <v>Merchant_040</v>
      </c>
      <c r="J333" s="3" t="str">
        <f>IFERROR(VLOOKUP($C333,Merchants!$A$1:$D$41,3,FALSE),"Merchant not found")</f>
        <v>ecommerce</v>
      </c>
      <c r="K333" s="3" t="str">
        <f>IFERROR(VLOOKUP($C333,Merchants!$A$1:$D$41,4,FALSE),"Merchant not found")</f>
        <v>North</v>
      </c>
      <c r="L333" s="3">
        <f>IFERROR(HLOOKUP(F333,Fee_Lookup!$B$1:$E$2,2,FALSE),"Fee not found")</f>
        <v>0.5</v>
      </c>
      <c r="M333" s="3" t="str">
        <f>IF(AND(SUMIF(Transactions!$C$2:$C$548,C333,Transactions!$E$2:$E$548)&gt;5000,K333&lt;&gt;"East"),"High-Value Merchant Day","Normal")</f>
        <v>High-Value Merchant Day</v>
      </c>
    </row>
    <row r="334">
      <c r="A334" s="2" t="s">
        <v>417</v>
      </c>
      <c r="B334" s="2">
        <v>289.0</v>
      </c>
      <c r="C334" s="2">
        <v>3.0</v>
      </c>
      <c r="D334" s="5">
        <v>46051.80625</v>
      </c>
      <c r="E334" s="2">
        <v>49.0</v>
      </c>
      <c r="F334" s="2" t="s">
        <v>79</v>
      </c>
      <c r="G334" s="2" t="s">
        <v>36</v>
      </c>
      <c r="H334" s="2">
        <v>3.0</v>
      </c>
      <c r="I334" s="3" t="str">
        <f>IFERROR(VLOOKUP($C334,Merchants!$A$1:$D$41,2,FALSE),"Merchant not found")</f>
        <v>Merchant_003</v>
      </c>
      <c r="J334" s="3" t="str">
        <f>IFERROR(VLOOKUP($C334,Merchants!$A$1:$D$41,3,FALSE),"Merchant not found")</f>
        <v>entertainment</v>
      </c>
      <c r="K334" s="3" t="str">
        <f>IFERROR(VLOOKUP($C334,Merchants!$A$1:$D$41,4,FALSE),"Merchant not found")</f>
        <v>East</v>
      </c>
      <c r="L334" s="3">
        <f>IFERROR(HLOOKUP(F334,Fee_Lookup!$B$1:$E$2,2,FALSE),"Fee not found")</f>
        <v>1.5</v>
      </c>
      <c r="M334" s="3" t="str">
        <f>IF(AND(SUMIF(Transactions!$C$2:$C$548,C334,Transactions!$E$2:$E$548)&gt;5000,K334&lt;&gt;"East"),"High-Value Merchant Day","Normal")</f>
        <v>Normal</v>
      </c>
    </row>
    <row r="335">
      <c r="A335" s="2" t="s">
        <v>418</v>
      </c>
      <c r="B335" s="2">
        <v>296.0</v>
      </c>
      <c r="C335" s="2">
        <v>17.0</v>
      </c>
      <c r="D335" s="5">
        <v>46025.07013888889</v>
      </c>
      <c r="E335" s="2">
        <v>99.0</v>
      </c>
      <c r="F335" s="2" t="s">
        <v>6</v>
      </c>
      <c r="G335" s="2" t="s">
        <v>36</v>
      </c>
      <c r="H335" s="2">
        <v>83.0</v>
      </c>
      <c r="I335" s="3" t="str">
        <f>IFERROR(VLOOKUP($C335,Merchants!$A$1:$D$41,2,FALSE),"Merchant not found")</f>
        <v>Merchant_017</v>
      </c>
      <c r="J335" s="3" t="str">
        <f>IFERROR(VLOOKUP($C335,Merchants!$A$1:$D$41,3,FALSE),"Merchant not found")</f>
        <v>bill_payment</v>
      </c>
      <c r="K335" s="3" t="str">
        <f>IFERROR(VLOOKUP($C335,Merchants!$A$1:$D$41,4,FALSE),"Merchant not found")</f>
        <v>East</v>
      </c>
      <c r="L335" s="3">
        <f>IFERROR(HLOOKUP(F335,Fee_Lookup!$B$1:$E$2,2,FALSE),"Fee not found")</f>
        <v>0.5</v>
      </c>
      <c r="M335" s="3" t="str">
        <f>IF(AND(SUMIF(Transactions!$C$2:$C$548,C335,Transactions!$E$2:$E$548)&gt;5000,K335&lt;&gt;"East"),"High-Value Merchant Day","Normal")</f>
        <v>Normal</v>
      </c>
    </row>
    <row r="336">
      <c r="A336" s="2" t="s">
        <v>419</v>
      </c>
      <c r="B336" s="2">
        <v>317.0</v>
      </c>
      <c r="C336" s="2">
        <v>2.0</v>
      </c>
      <c r="D336" s="5">
        <v>46029.768055555556</v>
      </c>
      <c r="E336" s="2">
        <v>499.0</v>
      </c>
      <c r="F336" s="2" t="s">
        <v>96</v>
      </c>
      <c r="G336" s="2" t="s">
        <v>36</v>
      </c>
      <c r="H336" s="2">
        <v>63.0</v>
      </c>
      <c r="I336" s="3" t="str">
        <f>IFERROR(VLOOKUP($C336,Merchants!$A$1:$D$41,2,FALSE),"Merchant not found")</f>
        <v>Merchant_002</v>
      </c>
      <c r="J336" s="3" t="str">
        <f>IFERROR(VLOOKUP($C336,Merchants!$A$1:$D$41,3,FALSE),"Merchant not found")</f>
        <v>recharge</v>
      </c>
      <c r="K336" s="3" t="str">
        <f>IFERROR(VLOOKUP($C336,Merchants!$A$1:$D$41,4,FALSE),"Merchant not found")</f>
        <v>South</v>
      </c>
      <c r="L336" s="3">
        <f>IFERROR(HLOOKUP(F336,Fee_Lookup!$B$1:$E$2,2,FALSE),"Fee not found")</f>
        <v>1.8</v>
      </c>
      <c r="M336" s="3" t="str">
        <f>IF(AND(SUMIF(Transactions!$C$2:$C$548,C336,Transactions!$E$2:$E$548)&gt;5000,K336&lt;&gt;"East"),"High-Value Merchant Day","Normal")</f>
        <v>Normal</v>
      </c>
    </row>
    <row r="337">
      <c r="A337" s="2" t="s">
        <v>420</v>
      </c>
      <c r="B337" s="2">
        <v>149.0</v>
      </c>
      <c r="C337" s="2">
        <v>20.0</v>
      </c>
      <c r="D337" s="5">
        <v>46051.856944444444</v>
      </c>
      <c r="E337" s="2">
        <v>499.0</v>
      </c>
      <c r="F337" s="2" t="s">
        <v>96</v>
      </c>
      <c r="G337" s="2" t="s">
        <v>36</v>
      </c>
      <c r="H337" s="2">
        <v>61.0</v>
      </c>
      <c r="I337" s="3" t="str">
        <f>IFERROR(VLOOKUP($C337,Merchants!$A$1:$D$41,2,FALSE),"Merchant not found")</f>
        <v>Merchant_020</v>
      </c>
      <c r="J337" s="3" t="str">
        <f>IFERROR(VLOOKUP($C337,Merchants!$A$1:$D$41,3,FALSE),"Merchant not found")</f>
        <v>entertainment</v>
      </c>
      <c r="K337" s="3" t="str">
        <f>IFERROR(VLOOKUP($C337,Merchants!$A$1:$D$41,4,FALSE),"Merchant not found")</f>
        <v>West</v>
      </c>
      <c r="L337" s="3">
        <f>IFERROR(HLOOKUP(F337,Fee_Lookup!$B$1:$E$2,2,FALSE),"Fee not found")</f>
        <v>1.8</v>
      </c>
      <c r="M337" s="3" t="str">
        <f>IF(AND(SUMIF(Transactions!$C$2:$C$548,C337,Transactions!$E$2:$E$548)&gt;5000,K337&lt;&gt;"East"),"High-Value Merchant Day","Normal")</f>
        <v>Normal</v>
      </c>
    </row>
    <row r="338">
      <c r="A338" s="2" t="s">
        <v>421</v>
      </c>
      <c r="B338" s="2">
        <v>153.0</v>
      </c>
      <c r="C338" s="2">
        <v>30.0</v>
      </c>
      <c r="D338" s="5">
        <v>46030.89236111111</v>
      </c>
      <c r="E338" s="2">
        <v>299.0</v>
      </c>
      <c r="F338" s="2" t="s">
        <v>6</v>
      </c>
      <c r="G338" s="2" t="s">
        <v>36</v>
      </c>
      <c r="H338" s="2">
        <v>9.0</v>
      </c>
      <c r="I338" s="3" t="str">
        <f>IFERROR(VLOOKUP($C338,Merchants!$A$1:$D$41,2,FALSE),"Merchant not found")</f>
        <v>Merchant_030</v>
      </c>
      <c r="J338" s="3" t="str">
        <f>IFERROR(VLOOKUP($C338,Merchants!$A$1:$D$41,3,FALSE),"Merchant not found")</f>
        <v>travel</v>
      </c>
      <c r="K338" s="3" t="str">
        <f>IFERROR(VLOOKUP($C338,Merchants!$A$1:$D$41,4,FALSE),"Merchant not found")</f>
        <v>West</v>
      </c>
      <c r="L338" s="3">
        <f>IFERROR(HLOOKUP(F338,Fee_Lookup!$B$1:$E$2,2,FALSE),"Fee not found")</f>
        <v>0.5</v>
      </c>
      <c r="M338" s="3" t="str">
        <f>IF(AND(SUMIF(Transactions!$C$2:$C$548,C338,Transactions!$E$2:$E$548)&gt;5000,K338&lt;&gt;"East"),"High-Value Merchant Day","Normal")</f>
        <v>High-Value Merchant Day</v>
      </c>
    </row>
    <row r="339">
      <c r="A339" s="2" t="s">
        <v>422</v>
      </c>
      <c r="B339" s="2">
        <v>226.0</v>
      </c>
      <c r="C339" s="2">
        <v>27.0</v>
      </c>
      <c r="D339" s="5">
        <v>46045.04861111111</v>
      </c>
      <c r="E339" s="2">
        <v>2999.0</v>
      </c>
      <c r="F339" s="2" t="s">
        <v>6</v>
      </c>
      <c r="G339" s="2" t="s">
        <v>62</v>
      </c>
      <c r="H339" s="2">
        <v>61.0</v>
      </c>
      <c r="I339" s="3" t="str">
        <f>IFERROR(VLOOKUP($C339,Merchants!$A$1:$D$41,2,FALSE),"Merchant not found")</f>
        <v>Merchant_027</v>
      </c>
      <c r="J339" s="3" t="str">
        <f>IFERROR(VLOOKUP($C339,Merchants!$A$1:$D$41,3,FALSE),"Merchant not found")</f>
        <v>recharge</v>
      </c>
      <c r="K339" s="3" t="str">
        <f>IFERROR(VLOOKUP($C339,Merchants!$A$1:$D$41,4,FALSE),"Merchant not found")</f>
        <v>South</v>
      </c>
      <c r="L339" s="3">
        <f>IFERROR(HLOOKUP(F339,Fee_Lookup!$B$1:$E$2,2,FALSE),"Fee not found")</f>
        <v>0.5</v>
      </c>
      <c r="M339" s="3" t="str">
        <f>IF(AND(SUMIF(Transactions!$C$2:$C$548,C339,Transactions!$E$2:$E$548)&gt;5000,K339&lt;&gt;"East"),"High-Value Merchant Day","Normal")</f>
        <v>High-Value Merchant Day</v>
      </c>
    </row>
    <row r="340">
      <c r="A340" s="2" t="s">
        <v>423</v>
      </c>
      <c r="B340" s="2">
        <v>311.0</v>
      </c>
      <c r="C340" s="2">
        <v>10.0</v>
      </c>
      <c r="D340" s="5">
        <v>46037.26458333333</v>
      </c>
      <c r="E340" s="2">
        <v>2999.0</v>
      </c>
      <c r="F340" s="2" t="s">
        <v>6</v>
      </c>
      <c r="G340" s="2" t="s">
        <v>36</v>
      </c>
      <c r="H340" s="2">
        <v>40.0</v>
      </c>
      <c r="I340" s="3" t="str">
        <f>IFERROR(VLOOKUP($C340,Merchants!$A$1:$D$41,2,FALSE),"Merchant not found")</f>
        <v>Merchant_010</v>
      </c>
      <c r="J340" s="3" t="str">
        <f>IFERROR(VLOOKUP($C340,Merchants!$A$1:$D$41,3,FALSE),"Merchant not found")</f>
        <v>grocery</v>
      </c>
      <c r="K340" s="3" t="str">
        <f>IFERROR(VLOOKUP($C340,Merchants!$A$1:$D$41,4,FALSE),"Merchant not found")</f>
        <v>East</v>
      </c>
      <c r="L340" s="3">
        <f>IFERROR(HLOOKUP(F340,Fee_Lookup!$B$1:$E$2,2,FALSE),"Fee not found")</f>
        <v>0.5</v>
      </c>
      <c r="M340" s="3" t="str">
        <f>IF(AND(SUMIF(Transactions!$C$2:$C$548,C340,Transactions!$E$2:$E$548)&gt;5000,K340&lt;&gt;"East"),"High-Value Merchant Day","Normal")</f>
        <v>Normal</v>
      </c>
    </row>
    <row r="341">
      <c r="A341" s="2" t="s">
        <v>424</v>
      </c>
      <c r="B341" s="2">
        <v>177.0</v>
      </c>
      <c r="C341" s="2">
        <v>26.0</v>
      </c>
      <c r="D341" s="5">
        <v>46050.930555555555</v>
      </c>
      <c r="E341" s="2">
        <v>1499.0</v>
      </c>
      <c r="F341" s="2" t="s">
        <v>6</v>
      </c>
      <c r="G341" s="2" t="s">
        <v>36</v>
      </c>
      <c r="H341" s="2">
        <v>16.0</v>
      </c>
      <c r="I341" s="3" t="str">
        <f>IFERROR(VLOOKUP($C341,Merchants!$A$1:$D$41,2,FALSE),"Merchant not found")</f>
        <v>Merchant_026</v>
      </c>
      <c r="J341" s="3" t="str">
        <f>IFERROR(VLOOKUP($C341,Merchants!$A$1:$D$41,3,FALSE),"Merchant not found")</f>
        <v>entertainment</v>
      </c>
      <c r="K341" s="3" t="str">
        <f>IFERROR(VLOOKUP($C341,Merchants!$A$1:$D$41,4,FALSE),"Merchant not found")</f>
        <v>West</v>
      </c>
      <c r="L341" s="3">
        <f>IFERROR(HLOOKUP(F341,Fee_Lookup!$B$1:$E$2,2,FALSE),"Fee not found")</f>
        <v>0.5</v>
      </c>
      <c r="M341" s="3" t="str">
        <f>IF(AND(SUMIF(Transactions!$C$2:$C$548,C341,Transactions!$E$2:$E$548)&gt;5000,K341&lt;&gt;"East"),"High-Value Merchant Day","Normal")</f>
        <v>High-Value Merchant Day</v>
      </c>
    </row>
    <row r="342">
      <c r="A342" s="2" t="s">
        <v>425</v>
      </c>
      <c r="B342" s="2">
        <v>288.0</v>
      </c>
      <c r="C342" s="2">
        <v>7.0</v>
      </c>
      <c r="D342" s="5">
        <v>46047.48055555556</v>
      </c>
      <c r="E342" s="2">
        <v>99.0</v>
      </c>
      <c r="F342" s="2" t="s">
        <v>79</v>
      </c>
      <c r="G342" s="2" t="s">
        <v>36</v>
      </c>
      <c r="H342" s="2">
        <v>40.0</v>
      </c>
      <c r="I342" s="3" t="str">
        <f>IFERROR(VLOOKUP($C342,Merchants!$A$1:$D$41,2,FALSE),"Merchant not found")</f>
        <v>Merchant_007</v>
      </c>
      <c r="J342" s="3" t="str">
        <f>IFERROR(VLOOKUP($C342,Merchants!$A$1:$D$41,3,FALSE),"Merchant not found")</f>
        <v>bill_payment</v>
      </c>
      <c r="K342" s="3" t="str">
        <f>IFERROR(VLOOKUP($C342,Merchants!$A$1:$D$41,4,FALSE),"Merchant not found")</f>
        <v>South</v>
      </c>
      <c r="L342" s="3">
        <f>IFERROR(HLOOKUP(F342,Fee_Lookup!$B$1:$E$2,2,FALSE),"Fee not found")</f>
        <v>1.5</v>
      </c>
      <c r="M342" s="3" t="str">
        <f>IF(AND(SUMIF(Transactions!$C$2:$C$548,C342,Transactions!$E$2:$E$548)&gt;5000,K342&lt;&gt;"East"),"High-Value Merchant Day","Normal")</f>
        <v>High-Value Merchant Day</v>
      </c>
    </row>
    <row r="343">
      <c r="A343" s="2" t="s">
        <v>426</v>
      </c>
      <c r="B343" s="2">
        <v>137.0</v>
      </c>
      <c r="C343" s="2">
        <v>29.0</v>
      </c>
      <c r="D343" s="5">
        <v>46030.58819444444</v>
      </c>
      <c r="E343" s="2">
        <v>2999.0</v>
      </c>
      <c r="F343" s="2" t="s">
        <v>6</v>
      </c>
      <c r="G343" s="2" t="s">
        <v>64</v>
      </c>
      <c r="H343" s="2">
        <v>31.0</v>
      </c>
      <c r="I343" s="3" t="str">
        <f>IFERROR(VLOOKUP($C343,Merchants!$A$1:$D$41,2,FALSE),"Merchant not found")</f>
        <v>Merchant_029</v>
      </c>
      <c r="J343" s="3" t="str">
        <f>IFERROR(VLOOKUP($C343,Merchants!$A$1:$D$41,3,FALSE),"Merchant not found")</f>
        <v>ecommerce</v>
      </c>
      <c r="K343" s="3" t="str">
        <f>IFERROR(VLOOKUP($C343,Merchants!$A$1:$D$41,4,FALSE),"Merchant not found")</f>
        <v>North</v>
      </c>
      <c r="L343" s="3">
        <f>IFERROR(HLOOKUP(F343,Fee_Lookup!$B$1:$E$2,2,FALSE),"Fee not found")</f>
        <v>0.5</v>
      </c>
      <c r="M343" s="3" t="str">
        <f>IF(AND(SUMIF(Transactions!$C$2:$C$548,C343,Transactions!$E$2:$E$548)&gt;5000,K343&lt;&gt;"East"),"High-Value Merchant Day","Normal")</f>
        <v>High-Value Merchant Day</v>
      </c>
    </row>
    <row r="344">
      <c r="A344" s="2" t="s">
        <v>427</v>
      </c>
      <c r="B344" s="2">
        <v>149.0</v>
      </c>
      <c r="C344" s="2">
        <v>25.0</v>
      </c>
      <c r="D344" s="5">
        <v>46027.12708333333</v>
      </c>
      <c r="E344" s="2">
        <v>1499.0</v>
      </c>
      <c r="F344" s="2" t="s">
        <v>6</v>
      </c>
      <c r="G344" s="2" t="s">
        <v>36</v>
      </c>
      <c r="H344" s="2">
        <v>78.0</v>
      </c>
      <c r="I344" s="3" t="str">
        <f>IFERROR(VLOOKUP($C344,Merchants!$A$1:$D$41,2,FALSE),"Merchant not found")</f>
        <v>Merchant_025</v>
      </c>
      <c r="J344" s="3" t="str">
        <f>IFERROR(VLOOKUP($C344,Merchants!$A$1:$D$41,3,FALSE),"Merchant not found")</f>
        <v>grocery</v>
      </c>
      <c r="K344" s="3" t="str">
        <f>IFERROR(VLOOKUP($C344,Merchants!$A$1:$D$41,4,FALSE),"Merchant not found")</f>
        <v>East</v>
      </c>
      <c r="L344" s="3">
        <f>IFERROR(HLOOKUP(F344,Fee_Lookup!$B$1:$E$2,2,FALSE),"Fee not found")</f>
        <v>0.5</v>
      </c>
      <c r="M344" s="3" t="str">
        <f>IF(AND(SUMIF(Transactions!$C$2:$C$548,C344,Transactions!$E$2:$E$548)&gt;5000,K344&lt;&gt;"East"),"High-Value Merchant Day","Normal")</f>
        <v>Normal</v>
      </c>
    </row>
    <row r="345">
      <c r="A345" s="2" t="s">
        <v>428</v>
      </c>
      <c r="B345" s="2">
        <v>82.0</v>
      </c>
      <c r="C345" s="2">
        <v>21.0</v>
      </c>
      <c r="D345" s="5">
        <v>46036.32986111111</v>
      </c>
      <c r="E345" s="2">
        <v>49.0</v>
      </c>
      <c r="F345" s="2" t="s">
        <v>35</v>
      </c>
      <c r="G345" s="2" t="s">
        <v>36</v>
      </c>
      <c r="H345" s="2">
        <v>73.0</v>
      </c>
      <c r="I345" s="3" t="str">
        <f>IFERROR(VLOOKUP($C345,Merchants!$A$1:$D$41,2,FALSE),"Merchant not found")</f>
        <v>Merchant_021</v>
      </c>
      <c r="J345" s="3" t="str">
        <f>IFERROR(VLOOKUP($C345,Merchants!$A$1:$D$41,3,FALSE),"Merchant not found")</f>
        <v>food_delivery</v>
      </c>
      <c r="K345" s="3" t="str">
        <f>IFERROR(VLOOKUP($C345,Merchants!$A$1:$D$41,4,FALSE),"Merchant not found")</f>
        <v>North</v>
      </c>
      <c r="L345" s="3">
        <f>IFERROR(HLOOKUP(F345,Fee_Lookup!$B$1:$E$2,2,FALSE),"Fee not found")</f>
        <v>1</v>
      </c>
      <c r="M345" s="3" t="str">
        <f>IF(AND(SUMIF(Transactions!$C$2:$C$548,C345,Transactions!$E$2:$E$548)&gt;5000,K345&lt;&gt;"East"),"High-Value Merchant Day","Normal")</f>
        <v>High-Value Merchant Day</v>
      </c>
    </row>
    <row r="346">
      <c r="A346" s="2" t="s">
        <v>429</v>
      </c>
      <c r="B346" s="2">
        <v>82.0</v>
      </c>
      <c r="C346" s="2">
        <v>32.0</v>
      </c>
      <c r="D346" s="5">
        <v>46046.425</v>
      </c>
      <c r="E346" s="2">
        <v>49.0</v>
      </c>
      <c r="F346" s="2" t="s">
        <v>6</v>
      </c>
      <c r="G346" s="2" t="s">
        <v>36</v>
      </c>
      <c r="H346" s="2">
        <v>65.0</v>
      </c>
      <c r="I346" s="3" t="str">
        <f>IFERROR(VLOOKUP($C346,Merchants!$A$1:$D$41,2,FALSE),"Merchant not found")</f>
        <v>Merchant_032</v>
      </c>
      <c r="J346" s="3" t="str">
        <f>IFERROR(VLOOKUP($C346,Merchants!$A$1:$D$41,3,FALSE),"Merchant not found")</f>
        <v>grocery</v>
      </c>
      <c r="K346" s="3" t="str">
        <f>IFERROR(VLOOKUP($C346,Merchants!$A$1:$D$41,4,FALSE),"Merchant not found")</f>
        <v>North</v>
      </c>
      <c r="L346" s="3">
        <f>IFERROR(HLOOKUP(F346,Fee_Lookup!$B$1:$E$2,2,FALSE),"Fee not found")</f>
        <v>0.5</v>
      </c>
      <c r="M346" s="3" t="str">
        <f>IF(AND(SUMIF(Transactions!$C$2:$C$548,C346,Transactions!$E$2:$E$548)&gt;5000,K346&lt;&gt;"East"),"High-Value Merchant Day","Normal")</f>
        <v>High-Value Merchant Day</v>
      </c>
    </row>
    <row r="347">
      <c r="A347" s="2" t="s">
        <v>430</v>
      </c>
      <c r="B347" s="2">
        <v>158.0</v>
      </c>
      <c r="C347" s="2">
        <v>32.0</v>
      </c>
      <c r="D347" s="5">
        <v>46037.66388888889</v>
      </c>
      <c r="E347" s="2">
        <v>99.0</v>
      </c>
      <c r="F347" s="2" t="s">
        <v>35</v>
      </c>
      <c r="G347" s="2" t="s">
        <v>36</v>
      </c>
      <c r="H347" s="2">
        <v>2.0</v>
      </c>
      <c r="I347" s="3" t="str">
        <f>IFERROR(VLOOKUP($C347,Merchants!$A$1:$D$41,2,FALSE),"Merchant not found")</f>
        <v>Merchant_032</v>
      </c>
      <c r="J347" s="3" t="str">
        <f>IFERROR(VLOOKUP($C347,Merchants!$A$1:$D$41,3,FALSE),"Merchant not found")</f>
        <v>grocery</v>
      </c>
      <c r="K347" s="3" t="str">
        <f>IFERROR(VLOOKUP($C347,Merchants!$A$1:$D$41,4,FALSE),"Merchant not found")</f>
        <v>North</v>
      </c>
      <c r="L347" s="3">
        <f>IFERROR(HLOOKUP(F347,Fee_Lookup!$B$1:$E$2,2,FALSE),"Fee not found")</f>
        <v>1</v>
      </c>
      <c r="M347" s="3" t="str">
        <f>IF(AND(SUMIF(Transactions!$C$2:$C$548,C347,Transactions!$E$2:$E$548)&gt;5000,K347&lt;&gt;"East"),"High-Value Merchant Day","Normal")</f>
        <v>High-Value Merchant Day</v>
      </c>
    </row>
    <row r="348">
      <c r="A348" s="2" t="s">
        <v>431</v>
      </c>
      <c r="B348" s="2">
        <v>235.0</v>
      </c>
      <c r="C348" s="2">
        <v>16.0</v>
      </c>
      <c r="D348" s="5">
        <v>46025.52222222222</v>
      </c>
      <c r="E348" s="2">
        <v>99.0</v>
      </c>
      <c r="F348" s="2" t="s">
        <v>6</v>
      </c>
      <c r="G348" s="2" t="s">
        <v>36</v>
      </c>
      <c r="H348" s="2">
        <v>27.0</v>
      </c>
      <c r="I348" s="3" t="str">
        <f>IFERROR(VLOOKUP($C348,Merchants!$A$1:$D$41,2,FALSE),"Merchant not found")</f>
        <v>Merchant_016</v>
      </c>
      <c r="J348" s="3" t="str">
        <f>IFERROR(VLOOKUP($C348,Merchants!$A$1:$D$41,3,FALSE),"Merchant not found")</f>
        <v>entertainment</v>
      </c>
      <c r="K348" s="3" t="str">
        <f>IFERROR(VLOOKUP($C348,Merchants!$A$1:$D$41,4,FALSE),"Merchant not found")</f>
        <v>North</v>
      </c>
      <c r="L348" s="3">
        <f>IFERROR(HLOOKUP(F348,Fee_Lookup!$B$1:$E$2,2,FALSE),"Fee not found")</f>
        <v>0.5</v>
      </c>
      <c r="M348" s="3" t="str">
        <f>IF(AND(SUMIF(Transactions!$C$2:$C$548,C348,Transactions!$E$2:$E$548)&gt;5000,K348&lt;&gt;"East"),"High-Value Merchant Day","Normal")</f>
        <v>High-Value Merchant Day</v>
      </c>
    </row>
    <row r="349">
      <c r="A349" s="2" t="s">
        <v>432</v>
      </c>
      <c r="B349" s="2">
        <v>26.0</v>
      </c>
      <c r="C349" s="2">
        <v>19.0</v>
      </c>
      <c r="D349" s="5">
        <v>46041.46041666667</v>
      </c>
      <c r="E349" s="2">
        <v>99.0</v>
      </c>
      <c r="F349" s="2" t="s">
        <v>35</v>
      </c>
      <c r="G349" s="2" t="s">
        <v>36</v>
      </c>
      <c r="H349" s="2">
        <v>63.0</v>
      </c>
      <c r="I349" s="3" t="str">
        <f>IFERROR(VLOOKUP($C349,Merchants!$A$1:$D$41,2,FALSE),"Merchant not found")</f>
        <v>Merchant_019</v>
      </c>
      <c r="J349" s="3" t="str">
        <f>IFERROR(VLOOKUP($C349,Merchants!$A$1:$D$41,3,FALSE),"Merchant not found")</f>
        <v>recharge</v>
      </c>
      <c r="K349" s="3" t="str">
        <f>IFERROR(VLOOKUP($C349,Merchants!$A$1:$D$41,4,FALSE),"Merchant not found")</f>
        <v>North</v>
      </c>
      <c r="L349" s="3">
        <f>IFERROR(HLOOKUP(F349,Fee_Lookup!$B$1:$E$2,2,FALSE),"Fee not found")</f>
        <v>1</v>
      </c>
      <c r="M349" s="3" t="str">
        <f>IF(AND(SUMIF(Transactions!$C$2:$C$548,C349,Transactions!$E$2:$E$548)&gt;5000,K349&lt;&gt;"East"),"High-Value Merchant Day","Normal")</f>
        <v>High-Value Merchant Day</v>
      </c>
    </row>
    <row r="350">
      <c r="A350" s="2" t="s">
        <v>433</v>
      </c>
      <c r="B350" s="2">
        <v>241.0</v>
      </c>
      <c r="C350" s="2">
        <v>19.0</v>
      </c>
      <c r="D350" s="5">
        <v>46042.86319444444</v>
      </c>
      <c r="E350" s="2">
        <v>299.0</v>
      </c>
      <c r="F350" s="2" t="s">
        <v>6</v>
      </c>
      <c r="G350" s="2" t="s">
        <v>36</v>
      </c>
      <c r="H350" s="2">
        <v>68.0</v>
      </c>
      <c r="I350" s="3" t="str">
        <f>IFERROR(VLOOKUP($C350,Merchants!$A$1:$D$41,2,FALSE),"Merchant not found")</f>
        <v>Merchant_019</v>
      </c>
      <c r="J350" s="3" t="str">
        <f>IFERROR(VLOOKUP($C350,Merchants!$A$1:$D$41,3,FALSE),"Merchant not found")</f>
        <v>recharge</v>
      </c>
      <c r="K350" s="3" t="str">
        <f>IFERROR(VLOOKUP($C350,Merchants!$A$1:$D$41,4,FALSE),"Merchant not found")</f>
        <v>North</v>
      </c>
      <c r="L350" s="3">
        <f>IFERROR(HLOOKUP(F350,Fee_Lookup!$B$1:$E$2,2,FALSE),"Fee not found")</f>
        <v>0.5</v>
      </c>
      <c r="M350" s="3" t="str">
        <f>IF(AND(SUMIF(Transactions!$C$2:$C$548,C350,Transactions!$E$2:$E$548)&gt;5000,K350&lt;&gt;"East"),"High-Value Merchant Day","Normal")</f>
        <v>High-Value Merchant Day</v>
      </c>
    </row>
    <row r="351">
      <c r="A351" s="2" t="s">
        <v>434</v>
      </c>
      <c r="B351" s="2">
        <v>69.0</v>
      </c>
      <c r="C351" s="2">
        <v>17.0</v>
      </c>
      <c r="D351" s="5">
        <v>46023.14375</v>
      </c>
      <c r="E351" s="2">
        <v>1499.0</v>
      </c>
      <c r="F351" s="2" t="s">
        <v>6</v>
      </c>
      <c r="G351" s="2" t="s">
        <v>36</v>
      </c>
      <c r="H351" s="2">
        <v>93.0</v>
      </c>
      <c r="I351" s="3" t="str">
        <f>IFERROR(VLOOKUP($C351,Merchants!$A$1:$D$41,2,FALSE),"Merchant not found")</f>
        <v>Merchant_017</v>
      </c>
      <c r="J351" s="3" t="str">
        <f>IFERROR(VLOOKUP($C351,Merchants!$A$1:$D$41,3,FALSE),"Merchant not found")</f>
        <v>bill_payment</v>
      </c>
      <c r="K351" s="3" t="str">
        <f>IFERROR(VLOOKUP($C351,Merchants!$A$1:$D$41,4,FALSE),"Merchant not found")</f>
        <v>East</v>
      </c>
      <c r="L351" s="3">
        <f>IFERROR(HLOOKUP(F351,Fee_Lookup!$B$1:$E$2,2,FALSE),"Fee not found")</f>
        <v>0.5</v>
      </c>
      <c r="M351" s="3" t="str">
        <f>IF(AND(SUMIF(Transactions!$C$2:$C$548,C351,Transactions!$E$2:$E$548)&gt;5000,K351&lt;&gt;"East"),"High-Value Merchant Day","Normal")</f>
        <v>Normal</v>
      </c>
    </row>
    <row r="352">
      <c r="A352" s="2" t="s">
        <v>435</v>
      </c>
      <c r="B352" s="2">
        <v>24.0</v>
      </c>
      <c r="C352" s="2">
        <v>26.0</v>
      </c>
      <c r="D352" s="5">
        <v>46034.51597222222</v>
      </c>
      <c r="E352" s="2">
        <v>299.0</v>
      </c>
      <c r="F352" s="2" t="s">
        <v>79</v>
      </c>
      <c r="G352" s="2" t="s">
        <v>36</v>
      </c>
      <c r="H352" s="2">
        <v>6.0</v>
      </c>
      <c r="I352" s="3" t="str">
        <f>IFERROR(VLOOKUP($C352,Merchants!$A$1:$D$41,2,FALSE),"Merchant not found")</f>
        <v>Merchant_026</v>
      </c>
      <c r="J352" s="3" t="str">
        <f>IFERROR(VLOOKUP($C352,Merchants!$A$1:$D$41,3,FALSE),"Merchant not found")</f>
        <v>entertainment</v>
      </c>
      <c r="K352" s="3" t="str">
        <f>IFERROR(VLOOKUP($C352,Merchants!$A$1:$D$41,4,FALSE),"Merchant not found")</f>
        <v>West</v>
      </c>
      <c r="L352" s="3">
        <f>IFERROR(HLOOKUP(F352,Fee_Lookup!$B$1:$E$2,2,FALSE),"Fee not found")</f>
        <v>1.5</v>
      </c>
      <c r="M352" s="3" t="str">
        <f>IF(AND(SUMIF(Transactions!$C$2:$C$548,C352,Transactions!$E$2:$E$548)&gt;5000,K352&lt;&gt;"East"),"High-Value Merchant Day","Normal")</f>
        <v>High-Value Merchant Day</v>
      </c>
    </row>
    <row r="353">
      <c r="A353" s="2" t="s">
        <v>436</v>
      </c>
      <c r="B353" s="2">
        <v>186.0</v>
      </c>
      <c r="C353" s="2">
        <v>36.0</v>
      </c>
      <c r="D353" s="5">
        <v>46041.71666666667</v>
      </c>
      <c r="E353" s="2">
        <v>4999.0</v>
      </c>
      <c r="F353" s="2" t="s">
        <v>6</v>
      </c>
      <c r="G353" s="2" t="s">
        <v>36</v>
      </c>
      <c r="H353" s="2">
        <v>36.0</v>
      </c>
      <c r="I353" s="3" t="str">
        <f>IFERROR(VLOOKUP($C353,Merchants!$A$1:$D$41,2,FALSE),"Merchant not found")</f>
        <v>Merchant_036</v>
      </c>
      <c r="J353" s="3" t="str">
        <f>IFERROR(VLOOKUP($C353,Merchants!$A$1:$D$41,3,FALSE),"Merchant not found")</f>
        <v>ecommerce</v>
      </c>
      <c r="K353" s="3" t="str">
        <f>IFERROR(VLOOKUP($C353,Merchants!$A$1:$D$41,4,FALSE),"Merchant not found")</f>
        <v>East</v>
      </c>
      <c r="L353" s="3">
        <f>IFERROR(HLOOKUP(F353,Fee_Lookup!$B$1:$E$2,2,FALSE),"Fee not found")</f>
        <v>0.5</v>
      </c>
      <c r="M353" s="3" t="str">
        <f>IF(AND(SUMIF(Transactions!$C$2:$C$548,C353,Transactions!$E$2:$E$548)&gt;5000,K353&lt;&gt;"East"),"High-Value Merchant Day","Normal")</f>
        <v>Normal</v>
      </c>
    </row>
    <row r="354">
      <c r="A354" s="2" t="s">
        <v>437</v>
      </c>
      <c r="B354" s="2">
        <v>231.0</v>
      </c>
      <c r="C354" s="2">
        <v>36.0</v>
      </c>
      <c r="D354" s="5">
        <v>46025.52222222222</v>
      </c>
      <c r="E354" s="2">
        <v>149.0</v>
      </c>
      <c r="F354" s="2" t="s">
        <v>6</v>
      </c>
      <c r="G354" s="2" t="s">
        <v>36</v>
      </c>
      <c r="H354" s="2">
        <v>35.0</v>
      </c>
      <c r="I354" s="3" t="str">
        <f>IFERROR(VLOOKUP($C354,Merchants!$A$1:$D$41,2,FALSE),"Merchant not found")</f>
        <v>Merchant_036</v>
      </c>
      <c r="J354" s="3" t="str">
        <f>IFERROR(VLOOKUP($C354,Merchants!$A$1:$D$41,3,FALSE),"Merchant not found")</f>
        <v>ecommerce</v>
      </c>
      <c r="K354" s="3" t="str">
        <f>IFERROR(VLOOKUP($C354,Merchants!$A$1:$D$41,4,FALSE),"Merchant not found")</f>
        <v>East</v>
      </c>
      <c r="L354" s="3">
        <f>IFERROR(HLOOKUP(F354,Fee_Lookup!$B$1:$E$2,2,FALSE),"Fee not found")</f>
        <v>0.5</v>
      </c>
      <c r="M354" s="3" t="str">
        <f>IF(AND(SUMIF(Transactions!$C$2:$C$548,C354,Transactions!$E$2:$E$548)&gt;5000,K354&lt;&gt;"East"),"High-Value Merchant Day","Normal")</f>
        <v>Normal</v>
      </c>
    </row>
    <row r="355">
      <c r="A355" s="2" t="s">
        <v>438</v>
      </c>
      <c r="B355" s="2">
        <v>313.0</v>
      </c>
      <c r="C355" s="2">
        <v>8.0</v>
      </c>
      <c r="D355" s="5">
        <v>46049.82152777778</v>
      </c>
      <c r="E355" s="2">
        <v>1499.0</v>
      </c>
      <c r="F355" s="2" t="s">
        <v>79</v>
      </c>
      <c r="G355" s="2" t="s">
        <v>36</v>
      </c>
      <c r="H355" s="2">
        <v>16.0</v>
      </c>
      <c r="I355" s="3" t="str">
        <f>IFERROR(VLOOKUP($C355,Merchants!$A$1:$D$41,2,FALSE),"Merchant not found")</f>
        <v>Merchant_008</v>
      </c>
      <c r="J355" s="3" t="str">
        <f>IFERROR(VLOOKUP($C355,Merchants!$A$1:$D$41,3,FALSE),"Merchant not found")</f>
        <v>travel</v>
      </c>
      <c r="K355" s="3" t="str">
        <f>IFERROR(VLOOKUP($C355,Merchants!$A$1:$D$41,4,FALSE),"Merchant not found")</f>
        <v>North</v>
      </c>
      <c r="L355" s="3">
        <f>IFERROR(HLOOKUP(F355,Fee_Lookup!$B$1:$E$2,2,FALSE),"Fee not found")</f>
        <v>1.5</v>
      </c>
      <c r="M355" s="3" t="str">
        <f>IF(AND(SUMIF(Transactions!$C$2:$C$548,C355,Transactions!$E$2:$E$548)&gt;5000,K355&lt;&gt;"East"),"High-Value Merchant Day","Normal")</f>
        <v>High-Value Merchant Day</v>
      </c>
    </row>
    <row r="356">
      <c r="A356" s="2" t="s">
        <v>439</v>
      </c>
      <c r="B356" s="2">
        <v>174.0</v>
      </c>
      <c r="C356" s="2">
        <v>36.0</v>
      </c>
      <c r="D356" s="5">
        <v>46026.51597222222</v>
      </c>
      <c r="E356" s="2">
        <v>149.0</v>
      </c>
      <c r="F356" s="2" t="s">
        <v>6</v>
      </c>
      <c r="G356" s="2" t="s">
        <v>36</v>
      </c>
      <c r="H356" s="2">
        <v>46.0</v>
      </c>
      <c r="I356" s="3" t="str">
        <f>IFERROR(VLOOKUP($C356,Merchants!$A$1:$D$41,2,FALSE),"Merchant not found")</f>
        <v>Merchant_036</v>
      </c>
      <c r="J356" s="3" t="str">
        <f>IFERROR(VLOOKUP($C356,Merchants!$A$1:$D$41,3,FALSE),"Merchant not found")</f>
        <v>ecommerce</v>
      </c>
      <c r="K356" s="3" t="str">
        <f>IFERROR(VLOOKUP($C356,Merchants!$A$1:$D$41,4,FALSE),"Merchant not found")</f>
        <v>East</v>
      </c>
      <c r="L356" s="3">
        <f>IFERROR(HLOOKUP(F356,Fee_Lookup!$B$1:$E$2,2,FALSE),"Fee not found")</f>
        <v>0.5</v>
      </c>
      <c r="M356" s="3" t="str">
        <f>IF(AND(SUMIF(Transactions!$C$2:$C$548,C356,Transactions!$E$2:$E$548)&gt;5000,K356&lt;&gt;"East"),"High-Value Merchant Day","Normal")</f>
        <v>Normal</v>
      </c>
    </row>
    <row r="357">
      <c r="A357" s="2" t="s">
        <v>440</v>
      </c>
      <c r="B357" s="2">
        <v>309.0</v>
      </c>
      <c r="C357" s="2">
        <v>33.0</v>
      </c>
      <c r="D357" s="5">
        <v>46047.175</v>
      </c>
      <c r="E357" s="2">
        <v>99.0</v>
      </c>
      <c r="F357" s="2" t="s">
        <v>6</v>
      </c>
      <c r="G357" s="2" t="s">
        <v>36</v>
      </c>
      <c r="H357" s="2">
        <v>51.0</v>
      </c>
      <c r="I357" s="3" t="str">
        <f>IFERROR(VLOOKUP($C357,Merchants!$A$1:$D$41,2,FALSE),"Merchant not found")</f>
        <v>Merchant_033</v>
      </c>
      <c r="J357" s="3" t="str">
        <f>IFERROR(VLOOKUP($C357,Merchants!$A$1:$D$41,3,FALSE),"Merchant not found")</f>
        <v>entertainment</v>
      </c>
      <c r="K357" s="3" t="str">
        <f>IFERROR(VLOOKUP($C357,Merchants!$A$1:$D$41,4,FALSE),"Merchant not found")</f>
        <v>East</v>
      </c>
      <c r="L357" s="3">
        <f>IFERROR(HLOOKUP(F357,Fee_Lookup!$B$1:$E$2,2,FALSE),"Fee not found")</f>
        <v>0.5</v>
      </c>
      <c r="M357" s="3" t="str">
        <f>IF(AND(SUMIF(Transactions!$C$2:$C$548,C357,Transactions!$E$2:$E$548)&gt;5000,K357&lt;&gt;"East"),"High-Value Merchant Day","Normal")</f>
        <v>Normal</v>
      </c>
    </row>
    <row r="358">
      <c r="A358" s="2" t="s">
        <v>441</v>
      </c>
      <c r="B358" s="2">
        <v>20.0</v>
      </c>
      <c r="C358" s="2">
        <v>9.0</v>
      </c>
      <c r="D358" s="5">
        <v>46039.04305555556</v>
      </c>
      <c r="E358" s="2">
        <v>99.0</v>
      </c>
      <c r="F358" s="2" t="s">
        <v>6</v>
      </c>
      <c r="G358" s="2" t="s">
        <v>36</v>
      </c>
      <c r="H358" s="2">
        <v>91.0</v>
      </c>
      <c r="I358" s="3" t="str">
        <f>IFERROR(VLOOKUP($C358,Merchants!$A$1:$D$41,2,FALSE),"Merchant not found")</f>
        <v>Merchant_009</v>
      </c>
      <c r="J358" s="3" t="str">
        <f>IFERROR(VLOOKUP($C358,Merchants!$A$1:$D$41,3,FALSE),"Merchant not found")</f>
        <v>entertainment</v>
      </c>
      <c r="K358" s="3" t="str">
        <f>IFERROR(VLOOKUP($C358,Merchants!$A$1:$D$41,4,FALSE),"Merchant not found")</f>
        <v>West</v>
      </c>
      <c r="L358" s="3">
        <f>IFERROR(HLOOKUP(F358,Fee_Lookup!$B$1:$E$2,2,FALSE),"Fee not found")</f>
        <v>0.5</v>
      </c>
      <c r="M358" s="3" t="str">
        <f>IF(AND(SUMIF(Transactions!$C$2:$C$548,C358,Transactions!$E$2:$E$548)&gt;5000,K358&lt;&gt;"East"),"High-Value Merchant Day","Normal")</f>
        <v>Normal</v>
      </c>
    </row>
    <row r="359">
      <c r="A359" s="2" t="s">
        <v>442</v>
      </c>
      <c r="B359" s="2">
        <v>234.0</v>
      </c>
      <c r="C359" s="2">
        <v>10.0</v>
      </c>
      <c r="D359" s="5">
        <v>46033.64791666667</v>
      </c>
      <c r="E359" s="2">
        <v>49.0</v>
      </c>
      <c r="F359" s="2" t="s">
        <v>6</v>
      </c>
      <c r="G359" s="2" t="s">
        <v>36</v>
      </c>
      <c r="H359" s="2">
        <v>77.0</v>
      </c>
      <c r="I359" s="3" t="str">
        <f>IFERROR(VLOOKUP($C359,Merchants!$A$1:$D$41,2,FALSE),"Merchant not found")</f>
        <v>Merchant_010</v>
      </c>
      <c r="J359" s="3" t="str">
        <f>IFERROR(VLOOKUP($C359,Merchants!$A$1:$D$41,3,FALSE),"Merchant not found")</f>
        <v>grocery</v>
      </c>
      <c r="K359" s="3" t="str">
        <f>IFERROR(VLOOKUP($C359,Merchants!$A$1:$D$41,4,FALSE),"Merchant not found")</f>
        <v>East</v>
      </c>
      <c r="L359" s="3">
        <f>IFERROR(HLOOKUP(F359,Fee_Lookup!$B$1:$E$2,2,FALSE),"Fee not found")</f>
        <v>0.5</v>
      </c>
      <c r="M359" s="3" t="str">
        <f>IF(AND(SUMIF(Transactions!$C$2:$C$548,C359,Transactions!$E$2:$E$548)&gt;5000,K359&lt;&gt;"East"),"High-Value Merchant Day","Normal")</f>
        <v>Normal</v>
      </c>
    </row>
    <row r="360">
      <c r="A360" s="2" t="s">
        <v>443</v>
      </c>
      <c r="B360" s="2">
        <v>168.0</v>
      </c>
      <c r="C360" s="2">
        <v>40.0</v>
      </c>
      <c r="D360" s="5">
        <v>46051.67222222222</v>
      </c>
      <c r="E360" s="2">
        <v>149.0</v>
      </c>
      <c r="F360" s="2" t="s">
        <v>6</v>
      </c>
      <c r="G360" s="2" t="s">
        <v>62</v>
      </c>
      <c r="H360" s="2">
        <v>40.0</v>
      </c>
      <c r="I360" s="3" t="str">
        <f>IFERROR(VLOOKUP($C360,Merchants!$A$1:$D$41,2,FALSE),"Merchant not found")</f>
        <v>Merchant_040</v>
      </c>
      <c r="J360" s="3" t="str">
        <f>IFERROR(VLOOKUP($C360,Merchants!$A$1:$D$41,3,FALSE),"Merchant not found")</f>
        <v>ecommerce</v>
      </c>
      <c r="K360" s="3" t="str">
        <f>IFERROR(VLOOKUP($C360,Merchants!$A$1:$D$41,4,FALSE),"Merchant not found")</f>
        <v>North</v>
      </c>
      <c r="L360" s="3">
        <f>IFERROR(HLOOKUP(F360,Fee_Lookup!$B$1:$E$2,2,FALSE),"Fee not found")</f>
        <v>0.5</v>
      </c>
      <c r="M360" s="3" t="str">
        <f>IF(AND(SUMIF(Transactions!$C$2:$C$548,C360,Transactions!$E$2:$E$548)&gt;5000,K360&lt;&gt;"East"),"High-Value Merchant Day","Normal")</f>
        <v>High-Value Merchant Day</v>
      </c>
    </row>
    <row r="361">
      <c r="A361" s="2" t="s">
        <v>444</v>
      </c>
      <c r="B361" s="2">
        <v>154.0</v>
      </c>
      <c r="C361" s="2">
        <v>38.0</v>
      </c>
      <c r="D361" s="5">
        <v>46028.527083333334</v>
      </c>
      <c r="E361" s="2">
        <v>99.0</v>
      </c>
      <c r="F361" s="2" t="s">
        <v>79</v>
      </c>
      <c r="G361" s="2" t="s">
        <v>36</v>
      </c>
      <c r="H361" s="2">
        <v>43.0</v>
      </c>
      <c r="I361" s="3" t="str">
        <f>IFERROR(VLOOKUP($C361,Merchants!$A$1:$D$41,2,FALSE),"Merchant not found")</f>
        <v>Merchant_038</v>
      </c>
      <c r="J361" s="3" t="str">
        <f>IFERROR(VLOOKUP($C361,Merchants!$A$1:$D$41,3,FALSE),"Merchant not found")</f>
        <v>bill_payment</v>
      </c>
      <c r="K361" s="3" t="str">
        <f>IFERROR(VLOOKUP($C361,Merchants!$A$1:$D$41,4,FALSE),"Merchant not found")</f>
        <v>West</v>
      </c>
      <c r="L361" s="3">
        <f>IFERROR(HLOOKUP(F361,Fee_Lookup!$B$1:$E$2,2,FALSE),"Fee not found")</f>
        <v>1.5</v>
      </c>
      <c r="M361" s="3" t="str">
        <f>IF(AND(SUMIF(Transactions!$C$2:$C$548,C361,Transactions!$E$2:$E$548)&gt;5000,K361&lt;&gt;"East"),"High-Value Merchant Day","Normal")</f>
        <v>Normal</v>
      </c>
    </row>
    <row r="362">
      <c r="A362" s="2" t="s">
        <v>445</v>
      </c>
      <c r="B362" s="2">
        <v>251.0</v>
      </c>
      <c r="C362" s="2">
        <v>37.0</v>
      </c>
      <c r="D362" s="5">
        <v>46039.69027777778</v>
      </c>
      <c r="E362" s="2">
        <v>49.0</v>
      </c>
      <c r="F362" s="2" t="s">
        <v>6</v>
      </c>
      <c r="G362" s="2" t="s">
        <v>36</v>
      </c>
      <c r="H362" s="2">
        <v>38.0</v>
      </c>
      <c r="I362" s="3" t="str">
        <f>IFERROR(VLOOKUP($C362,Merchants!$A$1:$D$41,2,FALSE),"Merchant not found")</f>
        <v>Merchant_037</v>
      </c>
      <c r="J362" s="3" t="str">
        <f>IFERROR(VLOOKUP($C362,Merchants!$A$1:$D$41,3,FALSE),"Merchant not found")</f>
        <v>travel</v>
      </c>
      <c r="K362" s="3" t="str">
        <f>IFERROR(VLOOKUP($C362,Merchants!$A$1:$D$41,4,FALSE),"Merchant not found")</f>
        <v>North</v>
      </c>
      <c r="L362" s="3">
        <f>IFERROR(HLOOKUP(F362,Fee_Lookup!$B$1:$E$2,2,FALSE),"Fee not found")</f>
        <v>0.5</v>
      </c>
      <c r="M362" s="3" t="str">
        <f>IF(AND(SUMIF(Transactions!$C$2:$C$548,C362,Transactions!$E$2:$E$548)&gt;5000,K362&lt;&gt;"East"),"High-Value Merchant Day","Normal")</f>
        <v>High-Value Merchant Day</v>
      </c>
    </row>
    <row r="363">
      <c r="A363" s="2" t="s">
        <v>446</v>
      </c>
      <c r="B363" s="2">
        <v>170.0</v>
      </c>
      <c r="C363" s="2">
        <v>8.0</v>
      </c>
      <c r="D363" s="5">
        <v>46038.01597222222</v>
      </c>
      <c r="E363" s="2">
        <v>2999.0</v>
      </c>
      <c r="F363" s="2" t="s">
        <v>6</v>
      </c>
      <c r="G363" s="2" t="s">
        <v>36</v>
      </c>
      <c r="H363" s="2">
        <v>53.0</v>
      </c>
      <c r="I363" s="3" t="str">
        <f>IFERROR(VLOOKUP($C363,Merchants!$A$1:$D$41,2,FALSE),"Merchant not found")</f>
        <v>Merchant_008</v>
      </c>
      <c r="J363" s="3" t="str">
        <f>IFERROR(VLOOKUP($C363,Merchants!$A$1:$D$41,3,FALSE),"Merchant not found")</f>
        <v>travel</v>
      </c>
      <c r="K363" s="3" t="str">
        <f>IFERROR(VLOOKUP($C363,Merchants!$A$1:$D$41,4,FALSE),"Merchant not found")</f>
        <v>North</v>
      </c>
      <c r="L363" s="3">
        <f>IFERROR(HLOOKUP(F363,Fee_Lookup!$B$1:$E$2,2,FALSE),"Fee not found")</f>
        <v>0.5</v>
      </c>
      <c r="M363" s="3" t="str">
        <f>IF(AND(SUMIF(Transactions!$C$2:$C$548,C363,Transactions!$E$2:$E$548)&gt;5000,K363&lt;&gt;"East"),"High-Value Merchant Day","Normal")</f>
        <v>High-Value Merchant Day</v>
      </c>
    </row>
    <row r="364">
      <c r="A364" s="2" t="s">
        <v>447</v>
      </c>
      <c r="B364" s="2">
        <v>323.0</v>
      </c>
      <c r="C364" s="2">
        <v>2.0</v>
      </c>
      <c r="D364" s="5">
        <v>46041.40972222222</v>
      </c>
      <c r="E364" s="2">
        <v>49.0</v>
      </c>
      <c r="F364" s="2" t="s">
        <v>79</v>
      </c>
      <c r="G364" s="2" t="s">
        <v>36</v>
      </c>
      <c r="H364" s="2">
        <v>76.0</v>
      </c>
      <c r="I364" s="3" t="str">
        <f>IFERROR(VLOOKUP($C364,Merchants!$A$1:$D$41,2,FALSE),"Merchant not found")</f>
        <v>Merchant_002</v>
      </c>
      <c r="J364" s="3" t="str">
        <f>IFERROR(VLOOKUP($C364,Merchants!$A$1:$D$41,3,FALSE),"Merchant not found")</f>
        <v>recharge</v>
      </c>
      <c r="K364" s="3" t="str">
        <f>IFERROR(VLOOKUP($C364,Merchants!$A$1:$D$41,4,FALSE),"Merchant not found")</f>
        <v>South</v>
      </c>
      <c r="L364" s="3">
        <f>IFERROR(HLOOKUP(F364,Fee_Lookup!$B$1:$E$2,2,FALSE),"Fee not found")</f>
        <v>1.5</v>
      </c>
      <c r="M364" s="3" t="str">
        <f>IF(AND(SUMIF(Transactions!$C$2:$C$548,C364,Transactions!$E$2:$E$548)&gt;5000,K364&lt;&gt;"East"),"High-Value Merchant Day","Normal")</f>
        <v>Normal</v>
      </c>
    </row>
    <row r="365">
      <c r="A365" s="2" t="s">
        <v>448</v>
      </c>
      <c r="B365" s="2">
        <v>297.0</v>
      </c>
      <c r="C365" s="2">
        <v>37.0</v>
      </c>
      <c r="D365" s="5">
        <v>46038.361805555556</v>
      </c>
      <c r="E365" s="2">
        <v>2999.0</v>
      </c>
      <c r="F365" s="2" t="s">
        <v>35</v>
      </c>
      <c r="G365" s="2" t="s">
        <v>36</v>
      </c>
      <c r="H365" s="2">
        <v>29.0</v>
      </c>
      <c r="I365" s="3" t="str">
        <f>IFERROR(VLOOKUP($C365,Merchants!$A$1:$D$41,2,FALSE),"Merchant not found")</f>
        <v>Merchant_037</v>
      </c>
      <c r="J365" s="3" t="str">
        <f>IFERROR(VLOOKUP($C365,Merchants!$A$1:$D$41,3,FALSE),"Merchant not found")</f>
        <v>travel</v>
      </c>
      <c r="K365" s="3" t="str">
        <f>IFERROR(VLOOKUP($C365,Merchants!$A$1:$D$41,4,FALSE),"Merchant not found")</f>
        <v>North</v>
      </c>
      <c r="L365" s="3">
        <f>IFERROR(HLOOKUP(F365,Fee_Lookup!$B$1:$E$2,2,FALSE),"Fee not found")</f>
        <v>1</v>
      </c>
      <c r="M365" s="3" t="str">
        <f>IF(AND(SUMIF(Transactions!$C$2:$C$548,C365,Transactions!$E$2:$E$548)&gt;5000,K365&lt;&gt;"East"),"High-Value Merchant Day","Normal")</f>
        <v>High-Value Merchant Day</v>
      </c>
    </row>
    <row r="366">
      <c r="A366" s="2" t="s">
        <v>449</v>
      </c>
      <c r="B366" s="2">
        <v>246.0</v>
      </c>
      <c r="C366" s="2">
        <v>11.0</v>
      </c>
      <c r="D366" s="5">
        <v>46046.06736111111</v>
      </c>
      <c r="E366" s="2">
        <v>299.0</v>
      </c>
      <c r="F366" s="2" t="s">
        <v>6</v>
      </c>
      <c r="G366" s="2" t="s">
        <v>36</v>
      </c>
      <c r="H366" s="2">
        <v>67.0</v>
      </c>
      <c r="I366" s="3" t="str">
        <f>IFERROR(VLOOKUP($C366,Merchants!$A$1:$D$41,2,FALSE),"Merchant not found")</f>
        <v>Merchant_011</v>
      </c>
      <c r="J366" s="3" t="str">
        <f>IFERROR(VLOOKUP($C366,Merchants!$A$1:$D$41,3,FALSE),"Merchant not found")</f>
        <v>recharge</v>
      </c>
      <c r="K366" s="3" t="str">
        <f>IFERROR(VLOOKUP($C366,Merchants!$A$1:$D$41,4,FALSE),"Merchant not found")</f>
        <v>West</v>
      </c>
      <c r="L366" s="3">
        <f>IFERROR(HLOOKUP(F366,Fee_Lookup!$B$1:$E$2,2,FALSE),"Fee not found")</f>
        <v>0.5</v>
      </c>
      <c r="M366" s="3" t="str">
        <f>IF(AND(SUMIF(Transactions!$C$2:$C$548,C366,Transactions!$E$2:$E$548)&gt;5000,K366&lt;&gt;"East"),"High-Value Merchant Day","Normal")</f>
        <v>High-Value Merchant Day</v>
      </c>
    </row>
    <row r="367">
      <c r="A367" s="2" t="s">
        <v>450</v>
      </c>
      <c r="B367" s="2">
        <v>195.0</v>
      </c>
      <c r="C367" s="2">
        <v>10.0</v>
      </c>
      <c r="D367" s="5">
        <v>46043.98541666667</v>
      </c>
      <c r="E367" s="2">
        <v>99.0</v>
      </c>
      <c r="F367" s="2" t="s">
        <v>6</v>
      </c>
      <c r="G367" s="2" t="s">
        <v>36</v>
      </c>
      <c r="H367" s="2">
        <v>87.0</v>
      </c>
      <c r="I367" s="3" t="str">
        <f>IFERROR(VLOOKUP($C367,Merchants!$A$1:$D$41,2,FALSE),"Merchant not found")</f>
        <v>Merchant_010</v>
      </c>
      <c r="J367" s="3" t="str">
        <f>IFERROR(VLOOKUP($C367,Merchants!$A$1:$D$41,3,FALSE),"Merchant not found")</f>
        <v>grocery</v>
      </c>
      <c r="K367" s="3" t="str">
        <f>IFERROR(VLOOKUP($C367,Merchants!$A$1:$D$41,4,FALSE),"Merchant not found")</f>
        <v>East</v>
      </c>
      <c r="L367" s="3">
        <f>IFERROR(HLOOKUP(F367,Fee_Lookup!$B$1:$E$2,2,FALSE),"Fee not found")</f>
        <v>0.5</v>
      </c>
      <c r="M367" s="3" t="str">
        <f>IF(AND(SUMIF(Transactions!$C$2:$C$548,C367,Transactions!$E$2:$E$548)&gt;5000,K367&lt;&gt;"East"),"High-Value Merchant Day","Normal")</f>
        <v>Normal</v>
      </c>
    </row>
    <row r="368">
      <c r="A368" s="2" t="s">
        <v>451</v>
      </c>
      <c r="B368" s="2">
        <v>57.0</v>
      </c>
      <c r="C368" s="2">
        <v>13.0</v>
      </c>
      <c r="D368" s="5">
        <v>46030.066666666666</v>
      </c>
      <c r="E368" s="2">
        <v>149.0</v>
      </c>
      <c r="F368" s="2" t="s">
        <v>6</v>
      </c>
      <c r="G368" s="2" t="s">
        <v>36</v>
      </c>
      <c r="H368" s="2">
        <v>2.0</v>
      </c>
      <c r="I368" s="3" t="str">
        <f>IFERROR(VLOOKUP($C368,Merchants!$A$1:$D$41,2,FALSE),"Merchant not found")</f>
        <v>Merchant_013</v>
      </c>
      <c r="J368" s="3" t="str">
        <f>IFERROR(VLOOKUP($C368,Merchants!$A$1:$D$41,3,FALSE),"Merchant not found")</f>
        <v>ecommerce</v>
      </c>
      <c r="K368" s="3" t="str">
        <f>IFERROR(VLOOKUP($C368,Merchants!$A$1:$D$41,4,FALSE),"Merchant not found")</f>
        <v>North</v>
      </c>
      <c r="L368" s="3">
        <f>IFERROR(HLOOKUP(F368,Fee_Lookup!$B$1:$E$2,2,FALSE),"Fee not found")</f>
        <v>0.5</v>
      </c>
      <c r="M368" s="3" t="str">
        <f>IF(AND(SUMIF(Transactions!$C$2:$C$548,C368,Transactions!$E$2:$E$548)&gt;5000,K368&lt;&gt;"East"),"High-Value Merchant Day","Normal")</f>
        <v>High-Value Merchant Day</v>
      </c>
    </row>
    <row r="369">
      <c r="A369" s="2" t="s">
        <v>452</v>
      </c>
      <c r="B369" s="2">
        <v>78.0</v>
      </c>
      <c r="C369" s="2">
        <v>27.0</v>
      </c>
      <c r="D369" s="5">
        <v>46037.43472222222</v>
      </c>
      <c r="E369" s="2">
        <v>1499.0</v>
      </c>
      <c r="F369" s="2" t="s">
        <v>79</v>
      </c>
      <c r="G369" s="2" t="s">
        <v>64</v>
      </c>
      <c r="H369" s="2">
        <v>88.0</v>
      </c>
      <c r="I369" s="3" t="str">
        <f>IFERROR(VLOOKUP($C369,Merchants!$A$1:$D$41,2,FALSE),"Merchant not found")</f>
        <v>Merchant_027</v>
      </c>
      <c r="J369" s="3" t="str">
        <f>IFERROR(VLOOKUP($C369,Merchants!$A$1:$D$41,3,FALSE),"Merchant not found")</f>
        <v>recharge</v>
      </c>
      <c r="K369" s="3" t="str">
        <f>IFERROR(VLOOKUP($C369,Merchants!$A$1:$D$41,4,FALSE),"Merchant not found")</f>
        <v>South</v>
      </c>
      <c r="L369" s="3">
        <f>IFERROR(HLOOKUP(F369,Fee_Lookup!$B$1:$E$2,2,FALSE),"Fee not found")</f>
        <v>1.5</v>
      </c>
      <c r="M369" s="3" t="str">
        <f>IF(AND(SUMIF(Transactions!$C$2:$C$548,C369,Transactions!$E$2:$E$548)&gt;5000,K369&lt;&gt;"East"),"High-Value Merchant Day","Normal")</f>
        <v>High-Value Merchant Day</v>
      </c>
    </row>
    <row r="370">
      <c r="A370" s="2" t="s">
        <v>453</v>
      </c>
      <c r="B370" s="2">
        <v>314.0</v>
      </c>
      <c r="C370" s="2">
        <v>31.0</v>
      </c>
      <c r="D370" s="5">
        <v>46029.563888888886</v>
      </c>
      <c r="E370" s="2">
        <v>49.0</v>
      </c>
      <c r="F370" s="2" t="s">
        <v>6</v>
      </c>
      <c r="G370" s="2" t="s">
        <v>62</v>
      </c>
      <c r="H370" s="2">
        <v>94.0</v>
      </c>
      <c r="I370" s="3" t="str">
        <f>IFERROR(VLOOKUP($C370,Merchants!$A$1:$D$41,2,FALSE),"Merchant not found")</f>
        <v>Merchant_031</v>
      </c>
      <c r="J370" s="3" t="str">
        <f>IFERROR(VLOOKUP($C370,Merchants!$A$1:$D$41,3,FALSE),"Merchant not found")</f>
        <v>bill_payment</v>
      </c>
      <c r="K370" s="3" t="str">
        <f>IFERROR(VLOOKUP($C370,Merchants!$A$1:$D$41,4,FALSE),"Merchant not found")</f>
        <v>South</v>
      </c>
      <c r="L370" s="3">
        <f>IFERROR(HLOOKUP(F370,Fee_Lookup!$B$1:$E$2,2,FALSE),"Fee not found")</f>
        <v>0.5</v>
      </c>
      <c r="M370" s="3" t="str">
        <f>IF(AND(SUMIF(Transactions!$C$2:$C$548,C370,Transactions!$E$2:$E$548)&gt;5000,K370&lt;&gt;"East"),"High-Value Merchant Day","Normal")</f>
        <v>Normal</v>
      </c>
    </row>
    <row r="371">
      <c r="A371" s="2" t="s">
        <v>454</v>
      </c>
      <c r="B371" s="2">
        <v>71.0</v>
      </c>
      <c r="C371" s="2">
        <v>34.0</v>
      </c>
      <c r="D371" s="5">
        <v>46046.072916666664</v>
      </c>
      <c r="E371" s="2">
        <v>499.0</v>
      </c>
      <c r="F371" s="2" t="s">
        <v>6</v>
      </c>
      <c r="G371" s="2" t="s">
        <v>36</v>
      </c>
      <c r="H371" s="2">
        <v>26.0</v>
      </c>
      <c r="I371" s="3" t="str">
        <f>IFERROR(VLOOKUP($C371,Merchants!$A$1:$D$41,2,FALSE),"Merchant not found")</f>
        <v>Merchant_034</v>
      </c>
      <c r="J371" s="3" t="str">
        <f>IFERROR(VLOOKUP($C371,Merchants!$A$1:$D$41,3,FALSE),"Merchant not found")</f>
        <v>recharge</v>
      </c>
      <c r="K371" s="3" t="str">
        <f>IFERROR(VLOOKUP($C371,Merchants!$A$1:$D$41,4,FALSE),"Merchant not found")</f>
        <v>West</v>
      </c>
      <c r="L371" s="3">
        <f>IFERROR(HLOOKUP(F371,Fee_Lookup!$B$1:$E$2,2,FALSE),"Fee not found")</f>
        <v>0.5</v>
      </c>
      <c r="M371" s="3" t="str">
        <f>IF(AND(SUMIF(Transactions!$C$2:$C$548,C371,Transactions!$E$2:$E$548)&gt;5000,K371&lt;&gt;"East"),"High-Value Merchant Day","Normal")</f>
        <v>High-Value Merchant Day</v>
      </c>
    </row>
    <row r="372">
      <c r="A372" s="2" t="s">
        <v>455</v>
      </c>
      <c r="B372" s="2">
        <v>245.0</v>
      </c>
      <c r="C372" s="2">
        <v>34.0</v>
      </c>
      <c r="D372" s="5">
        <v>46040.44583333333</v>
      </c>
      <c r="E372" s="2">
        <v>99.0</v>
      </c>
      <c r="F372" s="2" t="s">
        <v>6</v>
      </c>
      <c r="G372" s="2" t="s">
        <v>36</v>
      </c>
      <c r="H372" s="2">
        <v>48.0</v>
      </c>
      <c r="I372" s="3" t="str">
        <f>IFERROR(VLOOKUP($C372,Merchants!$A$1:$D$41,2,FALSE),"Merchant not found")</f>
        <v>Merchant_034</v>
      </c>
      <c r="J372" s="3" t="str">
        <f>IFERROR(VLOOKUP($C372,Merchants!$A$1:$D$41,3,FALSE),"Merchant not found")</f>
        <v>recharge</v>
      </c>
      <c r="K372" s="3" t="str">
        <f>IFERROR(VLOOKUP($C372,Merchants!$A$1:$D$41,4,FALSE),"Merchant not found")</f>
        <v>West</v>
      </c>
      <c r="L372" s="3">
        <f>IFERROR(HLOOKUP(F372,Fee_Lookup!$B$1:$E$2,2,FALSE),"Fee not found")</f>
        <v>0.5</v>
      </c>
      <c r="M372" s="3" t="str">
        <f>IF(AND(SUMIF(Transactions!$C$2:$C$548,C372,Transactions!$E$2:$E$548)&gt;5000,K372&lt;&gt;"East"),"High-Value Merchant Day","Normal")</f>
        <v>High-Value Merchant Day</v>
      </c>
    </row>
    <row r="373">
      <c r="A373" s="2" t="s">
        <v>456</v>
      </c>
      <c r="B373" s="2">
        <v>273.0</v>
      </c>
      <c r="C373" s="2">
        <v>22.0</v>
      </c>
      <c r="D373" s="5">
        <v>46033.228472222225</v>
      </c>
      <c r="E373" s="2">
        <v>299.0</v>
      </c>
      <c r="F373" s="2" t="s">
        <v>35</v>
      </c>
      <c r="G373" s="2" t="s">
        <v>36</v>
      </c>
      <c r="H373" s="2">
        <v>69.0</v>
      </c>
      <c r="I373" s="3" t="str">
        <f>IFERROR(VLOOKUP($C373,Merchants!$A$1:$D$41,2,FALSE),"Merchant not found")</f>
        <v>Merchant_022</v>
      </c>
      <c r="J373" s="3" t="str">
        <f>IFERROR(VLOOKUP($C373,Merchants!$A$1:$D$41,3,FALSE),"Merchant not found")</f>
        <v>ecommerce</v>
      </c>
      <c r="K373" s="3" t="str">
        <f>IFERROR(VLOOKUP($C373,Merchants!$A$1:$D$41,4,FALSE),"Merchant not found")</f>
        <v>West</v>
      </c>
      <c r="L373" s="3">
        <f>IFERROR(HLOOKUP(F373,Fee_Lookup!$B$1:$E$2,2,FALSE),"Fee not found")</f>
        <v>1</v>
      </c>
      <c r="M373" s="3" t="str">
        <f>IF(AND(SUMIF(Transactions!$C$2:$C$548,C373,Transactions!$E$2:$E$548)&gt;5000,K373&lt;&gt;"East"),"High-Value Merchant Day","Normal")</f>
        <v>High-Value Merchant Day</v>
      </c>
    </row>
    <row r="374">
      <c r="A374" s="2" t="s">
        <v>457</v>
      </c>
      <c r="B374" s="2">
        <v>349.0</v>
      </c>
      <c r="C374" s="2">
        <v>17.0</v>
      </c>
      <c r="D374" s="5">
        <v>46034.90902777778</v>
      </c>
      <c r="E374" s="2">
        <v>1499.0</v>
      </c>
      <c r="F374" s="2" t="s">
        <v>6</v>
      </c>
      <c r="G374" s="2" t="s">
        <v>36</v>
      </c>
      <c r="H374" s="2">
        <v>78.0</v>
      </c>
      <c r="I374" s="3" t="str">
        <f>IFERROR(VLOOKUP($C374,Merchants!$A$1:$D$41,2,FALSE),"Merchant not found")</f>
        <v>Merchant_017</v>
      </c>
      <c r="J374" s="3" t="str">
        <f>IFERROR(VLOOKUP($C374,Merchants!$A$1:$D$41,3,FALSE),"Merchant not found")</f>
        <v>bill_payment</v>
      </c>
      <c r="K374" s="3" t="str">
        <f>IFERROR(VLOOKUP($C374,Merchants!$A$1:$D$41,4,FALSE),"Merchant not found")</f>
        <v>East</v>
      </c>
      <c r="L374" s="3">
        <f>IFERROR(HLOOKUP(F374,Fee_Lookup!$B$1:$E$2,2,FALSE),"Fee not found")</f>
        <v>0.5</v>
      </c>
      <c r="M374" s="3" t="str">
        <f>IF(AND(SUMIF(Transactions!$C$2:$C$548,C374,Transactions!$E$2:$E$548)&gt;5000,K374&lt;&gt;"East"),"High-Value Merchant Day","Normal")</f>
        <v>Normal</v>
      </c>
    </row>
    <row r="375">
      <c r="A375" s="2" t="s">
        <v>458</v>
      </c>
      <c r="B375" s="2">
        <v>143.0</v>
      </c>
      <c r="C375" s="2">
        <v>36.0</v>
      </c>
      <c r="D375" s="5">
        <v>46038.260416666664</v>
      </c>
      <c r="E375" s="2">
        <v>1499.0</v>
      </c>
      <c r="F375" s="2" t="s">
        <v>79</v>
      </c>
      <c r="G375" s="2" t="s">
        <v>36</v>
      </c>
      <c r="H375" s="2">
        <v>38.0</v>
      </c>
      <c r="I375" s="3" t="str">
        <f>IFERROR(VLOOKUP($C375,Merchants!$A$1:$D$41,2,FALSE),"Merchant not found")</f>
        <v>Merchant_036</v>
      </c>
      <c r="J375" s="3" t="str">
        <f>IFERROR(VLOOKUP($C375,Merchants!$A$1:$D$41,3,FALSE),"Merchant not found")</f>
        <v>ecommerce</v>
      </c>
      <c r="K375" s="3" t="str">
        <f>IFERROR(VLOOKUP($C375,Merchants!$A$1:$D$41,4,FALSE),"Merchant not found")</f>
        <v>East</v>
      </c>
      <c r="L375" s="3">
        <f>IFERROR(HLOOKUP(F375,Fee_Lookup!$B$1:$E$2,2,FALSE),"Fee not found")</f>
        <v>1.5</v>
      </c>
      <c r="M375" s="3" t="str">
        <f>IF(AND(SUMIF(Transactions!$C$2:$C$548,C375,Transactions!$E$2:$E$548)&gt;5000,K375&lt;&gt;"East"),"High-Value Merchant Day","Normal")</f>
        <v>Normal</v>
      </c>
    </row>
    <row r="376">
      <c r="A376" s="2" t="s">
        <v>459</v>
      </c>
      <c r="B376" s="2">
        <v>148.0</v>
      </c>
      <c r="C376" s="2">
        <v>14.0</v>
      </c>
      <c r="D376" s="5">
        <v>46030.40902777778</v>
      </c>
      <c r="E376" s="2">
        <v>799.0</v>
      </c>
      <c r="F376" s="2" t="s">
        <v>35</v>
      </c>
      <c r="G376" s="2" t="s">
        <v>36</v>
      </c>
      <c r="H376" s="2">
        <v>88.0</v>
      </c>
      <c r="I376" s="3" t="str">
        <f>IFERROR(VLOOKUP($C376,Merchants!$A$1:$D$41,2,FALSE),"Merchant not found")</f>
        <v>Merchant_014</v>
      </c>
      <c r="J376" s="3" t="str">
        <f>IFERROR(VLOOKUP($C376,Merchants!$A$1:$D$41,3,FALSE),"Merchant not found")</f>
        <v>grocery</v>
      </c>
      <c r="K376" s="3" t="str">
        <f>IFERROR(VLOOKUP($C376,Merchants!$A$1:$D$41,4,FALSE),"Merchant not found")</f>
        <v>South</v>
      </c>
      <c r="L376" s="3">
        <f>IFERROR(HLOOKUP(F376,Fee_Lookup!$B$1:$E$2,2,FALSE),"Fee not found")</f>
        <v>1</v>
      </c>
      <c r="M376" s="3" t="str">
        <f>IF(AND(SUMIF(Transactions!$C$2:$C$548,C376,Transactions!$E$2:$E$548)&gt;5000,K376&lt;&gt;"East"),"High-Value Merchant Day","Normal")</f>
        <v>High-Value Merchant Day</v>
      </c>
    </row>
    <row r="377">
      <c r="A377" s="2" t="s">
        <v>460</v>
      </c>
      <c r="B377" s="2">
        <v>246.0</v>
      </c>
      <c r="C377" s="2">
        <v>23.0</v>
      </c>
      <c r="D377" s="5">
        <v>46045.63888888889</v>
      </c>
      <c r="E377" s="2">
        <v>49.0</v>
      </c>
      <c r="F377" s="2" t="s">
        <v>6</v>
      </c>
      <c r="G377" s="2" t="s">
        <v>36</v>
      </c>
      <c r="H377" s="2">
        <v>71.0</v>
      </c>
      <c r="I377" s="3" t="str">
        <f>IFERROR(VLOOKUP($C377,Merchants!$A$1:$D$41,2,FALSE),"Merchant not found")</f>
        <v>Merchant_023</v>
      </c>
      <c r="J377" s="3" t="str">
        <f>IFERROR(VLOOKUP($C377,Merchants!$A$1:$D$41,3,FALSE),"Merchant not found")</f>
        <v>travel</v>
      </c>
      <c r="K377" s="3" t="str">
        <f>IFERROR(VLOOKUP($C377,Merchants!$A$1:$D$41,4,FALSE),"Merchant not found")</f>
        <v>South</v>
      </c>
      <c r="L377" s="3">
        <f>IFERROR(HLOOKUP(F377,Fee_Lookup!$B$1:$E$2,2,FALSE),"Fee not found")</f>
        <v>0.5</v>
      </c>
      <c r="M377" s="3" t="str">
        <f>IF(AND(SUMIF(Transactions!$C$2:$C$548,C377,Transactions!$E$2:$E$548)&gt;5000,K377&lt;&gt;"East"),"High-Value Merchant Day","Normal")</f>
        <v>Normal</v>
      </c>
    </row>
    <row r="378">
      <c r="A378" s="2" t="s">
        <v>461</v>
      </c>
      <c r="B378" s="2">
        <v>148.0</v>
      </c>
      <c r="C378" s="2">
        <v>8.0</v>
      </c>
      <c r="D378" s="5">
        <v>46052.970138888886</v>
      </c>
      <c r="E378" s="2">
        <v>99.0</v>
      </c>
      <c r="F378" s="2" t="s">
        <v>35</v>
      </c>
      <c r="G378" s="2" t="s">
        <v>36</v>
      </c>
      <c r="H378" s="2">
        <v>73.0</v>
      </c>
      <c r="I378" s="3" t="str">
        <f>IFERROR(VLOOKUP($C378,Merchants!$A$1:$D$41,2,FALSE),"Merchant not found")</f>
        <v>Merchant_008</v>
      </c>
      <c r="J378" s="3" t="str">
        <f>IFERROR(VLOOKUP($C378,Merchants!$A$1:$D$41,3,FALSE),"Merchant not found")</f>
        <v>travel</v>
      </c>
      <c r="K378" s="3" t="str">
        <f>IFERROR(VLOOKUP($C378,Merchants!$A$1:$D$41,4,FALSE),"Merchant not found")</f>
        <v>North</v>
      </c>
      <c r="L378" s="3">
        <f>IFERROR(HLOOKUP(F378,Fee_Lookup!$B$1:$E$2,2,FALSE),"Fee not found")</f>
        <v>1</v>
      </c>
      <c r="M378" s="3" t="str">
        <f>IF(AND(SUMIF(Transactions!$C$2:$C$548,C378,Transactions!$E$2:$E$548)&gt;5000,K378&lt;&gt;"East"),"High-Value Merchant Day","Normal")</f>
        <v>High-Value Merchant Day</v>
      </c>
    </row>
    <row r="379">
      <c r="A379" s="2" t="s">
        <v>462</v>
      </c>
      <c r="B379" s="2">
        <v>203.0</v>
      </c>
      <c r="C379" s="2">
        <v>23.0</v>
      </c>
      <c r="D379" s="5">
        <v>46044.725</v>
      </c>
      <c r="E379" s="2">
        <v>49.0</v>
      </c>
      <c r="F379" s="2" t="s">
        <v>6</v>
      </c>
      <c r="G379" s="2" t="s">
        <v>36</v>
      </c>
      <c r="H379" s="2">
        <v>98.0</v>
      </c>
      <c r="I379" s="3" t="str">
        <f>IFERROR(VLOOKUP($C379,Merchants!$A$1:$D$41,2,FALSE),"Merchant not found")</f>
        <v>Merchant_023</v>
      </c>
      <c r="J379" s="3" t="str">
        <f>IFERROR(VLOOKUP($C379,Merchants!$A$1:$D$41,3,FALSE),"Merchant not found")</f>
        <v>travel</v>
      </c>
      <c r="K379" s="3" t="str">
        <f>IFERROR(VLOOKUP($C379,Merchants!$A$1:$D$41,4,FALSE),"Merchant not found")</f>
        <v>South</v>
      </c>
      <c r="L379" s="3">
        <f>IFERROR(HLOOKUP(F379,Fee_Lookup!$B$1:$E$2,2,FALSE),"Fee not found")</f>
        <v>0.5</v>
      </c>
      <c r="M379" s="3" t="str">
        <f>IF(AND(SUMIF(Transactions!$C$2:$C$548,C379,Transactions!$E$2:$E$548)&gt;5000,K379&lt;&gt;"East"),"High-Value Merchant Day","Normal")</f>
        <v>Normal</v>
      </c>
    </row>
    <row r="380">
      <c r="A380" s="2" t="s">
        <v>463</v>
      </c>
      <c r="B380" s="2">
        <v>22.0</v>
      </c>
      <c r="C380" s="2">
        <v>19.0</v>
      </c>
      <c r="D380" s="5">
        <v>46048.17916666667</v>
      </c>
      <c r="E380" s="2">
        <v>49.0</v>
      </c>
      <c r="F380" s="2" t="s">
        <v>96</v>
      </c>
      <c r="G380" s="2" t="s">
        <v>36</v>
      </c>
      <c r="H380" s="2">
        <v>91.0</v>
      </c>
      <c r="I380" s="3" t="str">
        <f>IFERROR(VLOOKUP($C380,Merchants!$A$1:$D$41,2,FALSE),"Merchant not found")</f>
        <v>Merchant_019</v>
      </c>
      <c r="J380" s="3" t="str">
        <f>IFERROR(VLOOKUP($C380,Merchants!$A$1:$D$41,3,FALSE),"Merchant not found")</f>
        <v>recharge</v>
      </c>
      <c r="K380" s="3" t="str">
        <f>IFERROR(VLOOKUP($C380,Merchants!$A$1:$D$41,4,FALSE),"Merchant not found")</f>
        <v>North</v>
      </c>
      <c r="L380" s="3">
        <f>IFERROR(HLOOKUP(F380,Fee_Lookup!$B$1:$E$2,2,FALSE),"Fee not found")</f>
        <v>1.8</v>
      </c>
      <c r="M380" s="3" t="str">
        <f>IF(AND(SUMIF(Transactions!$C$2:$C$548,C380,Transactions!$E$2:$E$548)&gt;5000,K380&lt;&gt;"East"),"High-Value Merchant Day","Normal")</f>
        <v>High-Value Merchant Day</v>
      </c>
    </row>
    <row r="381">
      <c r="A381" s="2" t="s">
        <v>464</v>
      </c>
      <c r="B381" s="2">
        <v>227.0</v>
      </c>
      <c r="C381" s="2">
        <v>17.0</v>
      </c>
      <c r="D381" s="5">
        <v>46025.49930555555</v>
      </c>
      <c r="E381" s="2">
        <v>299.0</v>
      </c>
      <c r="F381" s="2" t="s">
        <v>35</v>
      </c>
      <c r="G381" s="2" t="s">
        <v>36</v>
      </c>
      <c r="H381" s="2">
        <v>95.0</v>
      </c>
      <c r="I381" s="3" t="str">
        <f>IFERROR(VLOOKUP($C381,Merchants!$A$1:$D$41,2,FALSE),"Merchant not found")</f>
        <v>Merchant_017</v>
      </c>
      <c r="J381" s="3" t="str">
        <f>IFERROR(VLOOKUP($C381,Merchants!$A$1:$D$41,3,FALSE),"Merchant not found")</f>
        <v>bill_payment</v>
      </c>
      <c r="K381" s="3" t="str">
        <f>IFERROR(VLOOKUP($C381,Merchants!$A$1:$D$41,4,FALSE),"Merchant not found")</f>
        <v>East</v>
      </c>
      <c r="L381" s="3">
        <f>IFERROR(HLOOKUP(F381,Fee_Lookup!$B$1:$E$2,2,FALSE),"Fee not found")</f>
        <v>1</v>
      </c>
      <c r="M381" s="3" t="str">
        <f>IF(AND(SUMIF(Transactions!$C$2:$C$548,C381,Transactions!$E$2:$E$548)&gt;5000,K381&lt;&gt;"East"),"High-Value Merchant Day","Normal")</f>
        <v>Normal</v>
      </c>
    </row>
    <row r="382">
      <c r="A382" s="2" t="s">
        <v>465</v>
      </c>
      <c r="B382" s="2">
        <v>276.0</v>
      </c>
      <c r="C382" s="2">
        <v>18.0</v>
      </c>
      <c r="D382" s="5">
        <v>46038.25833333333</v>
      </c>
      <c r="E382" s="2">
        <v>149.0</v>
      </c>
      <c r="F382" s="2" t="s">
        <v>35</v>
      </c>
      <c r="G382" s="2" t="s">
        <v>36</v>
      </c>
      <c r="H382" s="2">
        <v>71.0</v>
      </c>
      <c r="I382" s="3" t="str">
        <f>IFERROR(VLOOKUP($C382,Merchants!$A$1:$D$41,2,FALSE),"Merchant not found")</f>
        <v>Merchant_018</v>
      </c>
      <c r="J382" s="3" t="str">
        <f>IFERROR(VLOOKUP($C382,Merchants!$A$1:$D$41,3,FALSE),"Merchant not found")</f>
        <v>grocery</v>
      </c>
      <c r="K382" s="3" t="str">
        <f>IFERROR(VLOOKUP($C382,Merchants!$A$1:$D$41,4,FALSE),"Merchant not found")</f>
        <v>South</v>
      </c>
      <c r="L382" s="3">
        <f>IFERROR(HLOOKUP(F382,Fee_Lookup!$B$1:$E$2,2,FALSE),"Fee not found")</f>
        <v>1</v>
      </c>
      <c r="M382" s="3" t="str">
        <f>IF(AND(SUMIF(Transactions!$C$2:$C$548,C382,Transactions!$E$2:$E$548)&gt;5000,K382&lt;&gt;"East"),"High-Value Merchant Day","Normal")</f>
        <v>High-Value Merchant Day</v>
      </c>
    </row>
    <row r="383">
      <c r="A383" s="2" t="s">
        <v>466</v>
      </c>
      <c r="B383" s="2">
        <v>56.0</v>
      </c>
      <c r="C383" s="2">
        <v>40.0</v>
      </c>
      <c r="D383" s="5">
        <v>46045.33888888889</v>
      </c>
      <c r="E383" s="2">
        <v>99.0</v>
      </c>
      <c r="F383" s="2" t="s">
        <v>96</v>
      </c>
      <c r="G383" s="2" t="s">
        <v>36</v>
      </c>
      <c r="H383" s="2">
        <v>94.0</v>
      </c>
      <c r="I383" s="3" t="str">
        <f>IFERROR(VLOOKUP($C383,Merchants!$A$1:$D$41,2,FALSE),"Merchant not found")</f>
        <v>Merchant_040</v>
      </c>
      <c r="J383" s="3" t="str">
        <f>IFERROR(VLOOKUP($C383,Merchants!$A$1:$D$41,3,FALSE),"Merchant not found")</f>
        <v>ecommerce</v>
      </c>
      <c r="K383" s="3" t="str">
        <f>IFERROR(VLOOKUP($C383,Merchants!$A$1:$D$41,4,FALSE),"Merchant not found")</f>
        <v>North</v>
      </c>
      <c r="L383" s="3">
        <f>IFERROR(HLOOKUP(F383,Fee_Lookup!$B$1:$E$2,2,FALSE),"Fee not found")</f>
        <v>1.8</v>
      </c>
      <c r="M383" s="3" t="str">
        <f>IF(AND(SUMIF(Transactions!$C$2:$C$548,C383,Transactions!$E$2:$E$548)&gt;5000,K383&lt;&gt;"East"),"High-Value Merchant Day","Normal")</f>
        <v>High-Value Merchant Day</v>
      </c>
    </row>
    <row r="384">
      <c r="A384" s="2" t="s">
        <v>467</v>
      </c>
      <c r="B384" s="2">
        <v>26.0</v>
      </c>
      <c r="C384" s="2">
        <v>34.0</v>
      </c>
      <c r="D384" s="5">
        <v>46041.302083333336</v>
      </c>
      <c r="E384" s="2">
        <v>499.0</v>
      </c>
      <c r="F384" s="2" t="s">
        <v>96</v>
      </c>
      <c r="G384" s="2" t="s">
        <v>36</v>
      </c>
      <c r="H384" s="2">
        <v>28.0</v>
      </c>
      <c r="I384" s="3" t="str">
        <f>IFERROR(VLOOKUP($C384,Merchants!$A$1:$D$41,2,FALSE),"Merchant not found")</f>
        <v>Merchant_034</v>
      </c>
      <c r="J384" s="3" t="str">
        <f>IFERROR(VLOOKUP($C384,Merchants!$A$1:$D$41,3,FALSE),"Merchant not found")</f>
        <v>recharge</v>
      </c>
      <c r="K384" s="3" t="str">
        <f>IFERROR(VLOOKUP($C384,Merchants!$A$1:$D$41,4,FALSE),"Merchant not found")</f>
        <v>West</v>
      </c>
      <c r="L384" s="3">
        <f>IFERROR(HLOOKUP(F384,Fee_Lookup!$B$1:$E$2,2,FALSE),"Fee not found")</f>
        <v>1.8</v>
      </c>
      <c r="M384" s="3" t="str">
        <f>IF(AND(SUMIF(Transactions!$C$2:$C$548,C384,Transactions!$E$2:$E$548)&gt;5000,K384&lt;&gt;"East"),"High-Value Merchant Day","Normal")</f>
        <v>High-Value Merchant Day</v>
      </c>
    </row>
    <row r="385">
      <c r="A385" s="2" t="s">
        <v>468</v>
      </c>
      <c r="B385" s="2">
        <v>52.0</v>
      </c>
      <c r="C385" s="2">
        <v>27.0</v>
      </c>
      <c r="D385" s="5">
        <v>46043.29375</v>
      </c>
      <c r="E385" s="2">
        <v>499.0</v>
      </c>
      <c r="F385" s="2" t="s">
        <v>96</v>
      </c>
      <c r="G385" s="2" t="s">
        <v>36</v>
      </c>
      <c r="H385" s="2">
        <v>42.0</v>
      </c>
      <c r="I385" s="3" t="str">
        <f>IFERROR(VLOOKUP($C385,Merchants!$A$1:$D$41,2,FALSE),"Merchant not found")</f>
        <v>Merchant_027</v>
      </c>
      <c r="J385" s="3" t="str">
        <f>IFERROR(VLOOKUP($C385,Merchants!$A$1:$D$41,3,FALSE),"Merchant not found")</f>
        <v>recharge</v>
      </c>
      <c r="K385" s="3" t="str">
        <f>IFERROR(VLOOKUP($C385,Merchants!$A$1:$D$41,4,FALSE),"Merchant not found")</f>
        <v>South</v>
      </c>
      <c r="L385" s="3">
        <f>IFERROR(HLOOKUP(F385,Fee_Lookup!$B$1:$E$2,2,FALSE),"Fee not found")</f>
        <v>1.8</v>
      </c>
      <c r="M385" s="3" t="str">
        <f>IF(AND(SUMIF(Transactions!$C$2:$C$548,C385,Transactions!$E$2:$E$548)&gt;5000,K385&lt;&gt;"East"),"High-Value Merchant Day","Normal")</f>
        <v>High-Value Merchant Day</v>
      </c>
    </row>
    <row r="386">
      <c r="A386" s="2" t="s">
        <v>469</v>
      </c>
      <c r="B386" s="2">
        <v>349.0</v>
      </c>
      <c r="C386" s="2">
        <v>9.0</v>
      </c>
      <c r="D386" s="5">
        <v>46045.629166666666</v>
      </c>
      <c r="E386" s="2">
        <v>499.0</v>
      </c>
      <c r="F386" s="2" t="s">
        <v>35</v>
      </c>
      <c r="G386" s="2" t="s">
        <v>36</v>
      </c>
      <c r="H386" s="2">
        <v>0.0</v>
      </c>
      <c r="I386" s="3" t="str">
        <f>IFERROR(VLOOKUP($C386,Merchants!$A$1:$D$41,2,FALSE),"Merchant not found")</f>
        <v>Merchant_009</v>
      </c>
      <c r="J386" s="3" t="str">
        <f>IFERROR(VLOOKUP($C386,Merchants!$A$1:$D$41,3,FALSE),"Merchant not found")</f>
        <v>entertainment</v>
      </c>
      <c r="K386" s="3" t="str">
        <f>IFERROR(VLOOKUP($C386,Merchants!$A$1:$D$41,4,FALSE),"Merchant not found")</f>
        <v>West</v>
      </c>
      <c r="L386" s="3">
        <f>IFERROR(HLOOKUP(F386,Fee_Lookup!$B$1:$E$2,2,FALSE),"Fee not found")</f>
        <v>1</v>
      </c>
      <c r="M386" s="3" t="str">
        <f>IF(AND(SUMIF(Transactions!$C$2:$C$548,C386,Transactions!$E$2:$E$548)&gt;5000,K386&lt;&gt;"East"),"High-Value Merchant Day","Normal")</f>
        <v>Normal</v>
      </c>
    </row>
    <row r="387">
      <c r="A387" s="2" t="s">
        <v>470</v>
      </c>
      <c r="B387" s="2">
        <v>335.0</v>
      </c>
      <c r="C387" s="2">
        <v>31.0</v>
      </c>
      <c r="D387" s="5">
        <v>46040.22638888889</v>
      </c>
      <c r="E387" s="2">
        <v>49.0</v>
      </c>
      <c r="F387" s="2" t="s">
        <v>96</v>
      </c>
      <c r="G387" s="2" t="s">
        <v>36</v>
      </c>
      <c r="H387" s="2">
        <v>61.0</v>
      </c>
      <c r="I387" s="3" t="str">
        <f>IFERROR(VLOOKUP($C387,Merchants!$A$1:$D$41,2,FALSE),"Merchant not found")</f>
        <v>Merchant_031</v>
      </c>
      <c r="J387" s="3" t="str">
        <f>IFERROR(VLOOKUP($C387,Merchants!$A$1:$D$41,3,FALSE),"Merchant not found")</f>
        <v>bill_payment</v>
      </c>
      <c r="K387" s="3" t="str">
        <f>IFERROR(VLOOKUP($C387,Merchants!$A$1:$D$41,4,FALSE),"Merchant not found")</f>
        <v>South</v>
      </c>
      <c r="L387" s="3">
        <f>IFERROR(HLOOKUP(F387,Fee_Lookup!$B$1:$E$2,2,FALSE),"Fee not found")</f>
        <v>1.8</v>
      </c>
      <c r="M387" s="3" t="str">
        <f>IF(AND(SUMIF(Transactions!$C$2:$C$548,C387,Transactions!$E$2:$E$548)&gt;5000,K387&lt;&gt;"East"),"High-Value Merchant Day","Normal")</f>
        <v>Normal</v>
      </c>
    </row>
    <row r="388">
      <c r="A388" s="2" t="s">
        <v>471</v>
      </c>
      <c r="B388" s="2">
        <v>148.0</v>
      </c>
      <c r="C388" s="2">
        <v>21.0</v>
      </c>
      <c r="D388" s="5">
        <v>46043.28333333333</v>
      </c>
      <c r="E388" s="2">
        <v>49.0</v>
      </c>
      <c r="F388" s="2" t="s">
        <v>96</v>
      </c>
      <c r="G388" s="2" t="s">
        <v>36</v>
      </c>
      <c r="H388" s="2">
        <v>36.0</v>
      </c>
      <c r="I388" s="3" t="str">
        <f>IFERROR(VLOOKUP($C388,Merchants!$A$1:$D$41,2,FALSE),"Merchant not found")</f>
        <v>Merchant_021</v>
      </c>
      <c r="J388" s="3" t="str">
        <f>IFERROR(VLOOKUP($C388,Merchants!$A$1:$D$41,3,FALSE),"Merchant not found")</f>
        <v>food_delivery</v>
      </c>
      <c r="K388" s="3" t="str">
        <f>IFERROR(VLOOKUP($C388,Merchants!$A$1:$D$41,4,FALSE),"Merchant not found")</f>
        <v>North</v>
      </c>
      <c r="L388" s="3">
        <f>IFERROR(HLOOKUP(F388,Fee_Lookup!$B$1:$E$2,2,FALSE),"Fee not found")</f>
        <v>1.8</v>
      </c>
      <c r="M388" s="3" t="str">
        <f>IF(AND(SUMIF(Transactions!$C$2:$C$548,C388,Transactions!$E$2:$E$548)&gt;5000,K388&lt;&gt;"East"),"High-Value Merchant Day","Normal")</f>
        <v>High-Value Merchant Day</v>
      </c>
    </row>
    <row r="389">
      <c r="A389" s="2" t="s">
        <v>472</v>
      </c>
      <c r="B389" s="2">
        <v>46.0</v>
      </c>
      <c r="C389" s="2">
        <v>37.0</v>
      </c>
      <c r="D389" s="5">
        <v>46043.08194444444</v>
      </c>
      <c r="E389" s="2">
        <v>99.0</v>
      </c>
      <c r="F389" s="2" t="s">
        <v>35</v>
      </c>
      <c r="G389" s="2" t="s">
        <v>36</v>
      </c>
      <c r="H389" s="2">
        <v>29.0</v>
      </c>
      <c r="I389" s="3" t="str">
        <f>IFERROR(VLOOKUP($C389,Merchants!$A$1:$D$41,2,FALSE),"Merchant not found")</f>
        <v>Merchant_037</v>
      </c>
      <c r="J389" s="3" t="str">
        <f>IFERROR(VLOOKUP($C389,Merchants!$A$1:$D$41,3,FALSE),"Merchant not found")</f>
        <v>travel</v>
      </c>
      <c r="K389" s="3" t="str">
        <f>IFERROR(VLOOKUP($C389,Merchants!$A$1:$D$41,4,FALSE),"Merchant not found")</f>
        <v>North</v>
      </c>
      <c r="L389" s="3">
        <f>IFERROR(HLOOKUP(F389,Fee_Lookup!$B$1:$E$2,2,FALSE),"Fee not found")</f>
        <v>1</v>
      </c>
      <c r="M389" s="3" t="str">
        <f>IF(AND(SUMIF(Transactions!$C$2:$C$548,C389,Transactions!$E$2:$E$548)&gt;5000,K389&lt;&gt;"East"),"High-Value Merchant Day","Normal")</f>
        <v>High-Value Merchant Day</v>
      </c>
    </row>
    <row r="390">
      <c r="A390" s="2" t="s">
        <v>473</v>
      </c>
      <c r="B390" s="2">
        <v>20.0</v>
      </c>
      <c r="C390" s="2">
        <v>12.0</v>
      </c>
      <c r="D390" s="5">
        <v>46040.990277777775</v>
      </c>
      <c r="E390" s="2">
        <v>799.0</v>
      </c>
      <c r="F390" s="2" t="s">
        <v>96</v>
      </c>
      <c r="G390" s="2" t="s">
        <v>36</v>
      </c>
      <c r="H390" s="2">
        <v>53.0</v>
      </c>
      <c r="I390" s="3" t="str">
        <f>IFERROR(VLOOKUP($C390,Merchants!$A$1:$D$41,2,FALSE),"Merchant not found")</f>
        <v>Merchant_012</v>
      </c>
      <c r="J390" s="3" t="str">
        <f>IFERROR(VLOOKUP($C390,Merchants!$A$1:$D$41,3,FALSE),"Merchant not found")</f>
        <v>food_delivery</v>
      </c>
      <c r="K390" s="3" t="str">
        <f>IFERROR(VLOOKUP($C390,Merchants!$A$1:$D$41,4,FALSE),"Merchant not found")</f>
        <v>South</v>
      </c>
      <c r="L390" s="3">
        <f>IFERROR(HLOOKUP(F390,Fee_Lookup!$B$1:$E$2,2,FALSE),"Fee not found")</f>
        <v>1.8</v>
      </c>
      <c r="M390" s="3" t="str">
        <f>IF(AND(SUMIF(Transactions!$C$2:$C$548,C390,Transactions!$E$2:$E$548)&gt;5000,K390&lt;&gt;"East"),"High-Value Merchant Day","Normal")</f>
        <v>High-Value Merchant Day</v>
      </c>
    </row>
    <row r="391">
      <c r="A391" s="2" t="s">
        <v>474</v>
      </c>
      <c r="B391" s="2">
        <v>19.0</v>
      </c>
      <c r="C391" s="2">
        <v>26.0</v>
      </c>
      <c r="D391" s="5">
        <v>46051.24930555555</v>
      </c>
      <c r="E391" s="2">
        <v>49.0</v>
      </c>
      <c r="F391" s="2" t="s">
        <v>6</v>
      </c>
      <c r="G391" s="2" t="s">
        <v>36</v>
      </c>
      <c r="H391" s="2">
        <v>100.0</v>
      </c>
      <c r="I391" s="3" t="str">
        <f>IFERROR(VLOOKUP($C391,Merchants!$A$1:$D$41,2,FALSE),"Merchant not found")</f>
        <v>Merchant_026</v>
      </c>
      <c r="J391" s="3" t="str">
        <f>IFERROR(VLOOKUP($C391,Merchants!$A$1:$D$41,3,FALSE),"Merchant not found")</f>
        <v>entertainment</v>
      </c>
      <c r="K391" s="3" t="str">
        <f>IFERROR(VLOOKUP($C391,Merchants!$A$1:$D$41,4,FALSE),"Merchant not found")</f>
        <v>West</v>
      </c>
      <c r="L391" s="3">
        <f>IFERROR(HLOOKUP(F391,Fee_Lookup!$B$1:$E$2,2,FALSE),"Fee not found")</f>
        <v>0.5</v>
      </c>
      <c r="M391" s="3" t="str">
        <f>IF(AND(SUMIF(Transactions!$C$2:$C$548,C391,Transactions!$E$2:$E$548)&gt;5000,K391&lt;&gt;"East"),"High-Value Merchant Day","Normal")</f>
        <v>High-Value Merchant Day</v>
      </c>
    </row>
    <row r="392">
      <c r="A392" s="2" t="s">
        <v>475</v>
      </c>
      <c r="B392" s="2">
        <v>149.0</v>
      </c>
      <c r="C392" s="2">
        <v>3.0</v>
      </c>
      <c r="D392" s="5">
        <v>46038.24930555555</v>
      </c>
      <c r="E392" s="2">
        <v>4999.0</v>
      </c>
      <c r="F392" s="2" t="s">
        <v>35</v>
      </c>
      <c r="G392" s="2" t="s">
        <v>36</v>
      </c>
      <c r="H392" s="2">
        <v>1.0</v>
      </c>
      <c r="I392" s="3" t="str">
        <f>IFERROR(VLOOKUP($C392,Merchants!$A$1:$D$41,2,FALSE),"Merchant not found")</f>
        <v>Merchant_003</v>
      </c>
      <c r="J392" s="3" t="str">
        <f>IFERROR(VLOOKUP($C392,Merchants!$A$1:$D$41,3,FALSE),"Merchant not found")</f>
        <v>entertainment</v>
      </c>
      <c r="K392" s="3" t="str">
        <f>IFERROR(VLOOKUP($C392,Merchants!$A$1:$D$41,4,FALSE),"Merchant not found")</f>
        <v>East</v>
      </c>
      <c r="L392" s="3">
        <f>IFERROR(HLOOKUP(F392,Fee_Lookup!$B$1:$E$2,2,FALSE),"Fee not found")</f>
        <v>1</v>
      </c>
      <c r="M392" s="3" t="str">
        <f>IF(AND(SUMIF(Transactions!$C$2:$C$548,C392,Transactions!$E$2:$E$548)&gt;5000,K392&lt;&gt;"East"),"High-Value Merchant Day","Normal")</f>
        <v>Normal</v>
      </c>
    </row>
    <row r="393">
      <c r="A393" s="2" t="s">
        <v>476</v>
      </c>
      <c r="B393" s="2">
        <v>55.0</v>
      </c>
      <c r="C393" s="2">
        <v>22.0</v>
      </c>
      <c r="D393" s="5">
        <v>46032.77638888889</v>
      </c>
      <c r="E393" s="2">
        <v>499.0</v>
      </c>
      <c r="F393" s="2" t="s">
        <v>6</v>
      </c>
      <c r="G393" s="2" t="s">
        <v>36</v>
      </c>
      <c r="H393" s="2">
        <v>36.0</v>
      </c>
      <c r="I393" s="3" t="str">
        <f>IFERROR(VLOOKUP($C393,Merchants!$A$1:$D$41,2,FALSE),"Merchant not found")</f>
        <v>Merchant_022</v>
      </c>
      <c r="J393" s="3" t="str">
        <f>IFERROR(VLOOKUP($C393,Merchants!$A$1:$D$41,3,FALSE),"Merchant not found")</f>
        <v>ecommerce</v>
      </c>
      <c r="K393" s="3" t="str">
        <f>IFERROR(VLOOKUP($C393,Merchants!$A$1:$D$41,4,FALSE),"Merchant not found")</f>
        <v>West</v>
      </c>
      <c r="L393" s="3">
        <f>IFERROR(HLOOKUP(F393,Fee_Lookup!$B$1:$E$2,2,FALSE),"Fee not found")</f>
        <v>0.5</v>
      </c>
      <c r="M393" s="3" t="str">
        <f>IF(AND(SUMIF(Transactions!$C$2:$C$548,C393,Transactions!$E$2:$E$548)&gt;5000,K393&lt;&gt;"East"),"High-Value Merchant Day","Normal")</f>
        <v>High-Value Merchant Day</v>
      </c>
    </row>
    <row r="394">
      <c r="A394" s="2" t="s">
        <v>477</v>
      </c>
      <c r="B394" s="2">
        <v>269.0</v>
      </c>
      <c r="C394" s="2">
        <v>32.0</v>
      </c>
      <c r="D394" s="5">
        <v>46037.856944444444</v>
      </c>
      <c r="E394" s="2">
        <v>49.0</v>
      </c>
      <c r="F394" s="2" t="s">
        <v>96</v>
      </c>
      <c r="G394" s="2" t="s">
        <v>36</v>
      </c>
      <c r="H394" s="2">
        <v>17.0</v>
      </c>
      <c r="I394" s="3" t="str">
        <f>IFERROR(VLOOKUP($C394,Merchants!$A$1:$D$41,2,FALSE),"Merchant not found")</f>
        <v>Merchant_032</v>
      </c>
      <c r="J394" s="3" t="str">
        <f>IFERROR(VLOOKUP($C394,Merchants!$A$1:$D$41,3,FALSE),"Merchant not found")</f>
        <v>grocery</v>
      </c>
      <c r="K394" s="3" t="str">
        <f>IFERROR(VLOOKUP($C394,Merchants!$A$1:$D$41,4,FALSE),"Merchant not found")</f>
        <v>North</v>
      </c>
      <c r="L394" s="3">
        <f>IFERROR(HLOOKUP(F394,Fee_Lookup!$B$1:$E$2,2,FALSE),"Fee not found")</f>
        <v>1.8</v>
      </c>
      <c r="M394" s="3" t="str">
        <f>IF(AND(SUMIF(Transactions!$C$2:$C$548,C394,Transactions!$E$2:$E$548)&gt;5000,K394&lt;&gt;"East"),"High-Value Merchant Day","Normal")</f>
        <v>High-Value Merchant Day</v>
      </c>
    </row>
    <row r="395">
      <c r="A395" s="2" t="s">
        <v>478</v>
      </c>
      <c r="B395" s="2">
        <v>140.0</v>
      </c>
      <c r="C395" s="2">
        <v>13.0</v>
      </c>
      <c r="D395" s="5">
        <v>46050.68680555555</v>
      </c>
      <c r="E395" s="2">
        <v>2999.0</v>
      </c>
      <c r="F395" s="2" t="s">
        <v>6</v>
      </c>
      <c r="G395" s="2" t="s">
        <v>36</v>
      </c>
      <c r="H395" s="2">
        <v>14.0</v>
      </c>
      <c r="I395" s="3" t="str">
        <f>IFERROR(VLOOKUP($C395,Merchants!$A$1:$D$41,2,FALSE),"Merchant not found")</f>
        <v>Merchant_013</v>
      </c>
      <c r="J395" s="3" t="str">
        <f>IFERROR(VLOOKUP($C395,Merchants!$A$1:$D$41,3,FALSE),"Merchant not found")</f>
        <v>ecommerce</v>
      </c>
      <c r="K395" s="3" t="str">
        <f>IFERROR(VLOOKUP($C395,Merchants!$A$1:$D$41,4,FALSE),"Merchant not found")</f>
        <v>North</v>
      </c>
      <c r="L395" s="3">
        <f>IFERROR(HLOOKUP(F395,Fee_Lookup!$B$1:$E$2,2,FALSE),"Fee not found")</f>
        <v>0.5</v>
      </c>
      <c r="M395" s="3" t="str">
        <f>IF(AND(SUMIF(Transactions!$C$2:$C$548,C395,Transactions!$E$2:$E$548)&gt;5000,K395&lt;&gt;"East"),"High-Value Merchant Day","Normal")</f>
        <v>High-Value Merchant Day</v>
      </c>
    </row>
    <row r="396">
      <c r="A396" s="2" t="s">
        <v>479</v>
      </c>
      <c r="B396" s="2">
        <v>235.0</v>
      </c>
      <c r="C396" s="2">
        <v>17.0</v>
      </c>
      <c r="D396" s="5">
        <v>46033.240277777775</v>
      </c>
      <c r="E396" s="2">
        <v>2999.0</v>
      </c>
      <c r="F396" s="2" t="s">
        <v>6</v>
      </c>
      <c r="G396" s="2" t="s">
        <v>36</v>
      </c>
      <c r="H396" s="2">
        <v>91.0</v>
      </c>
      <c r="I396" s="3" t="str">
        <f>IFERROR(VLOOKUP($C396,Merchants!$A$1:$D$41,2,FALSE),"Merchant not found")</f>
        <v>Merchant_017</v>
      </c>
      <c r="J396" s="3" t="str">
        <f>IFERROR(VLOOKUP($C396,Merchants!$A$1:$D$41,3,FALSE),"Merchant not found")</f>
        <v>bill_payment</v>
      </c>
      <c r="K396" s="3" t="str">
        <f>IFERROR(VLOOKUP($C396,Merchants!$A$1:$D$41,4,FALSE),"Merchant not found")</f>
        <v>East</v>
      </c>
      <c r="L396" s="3">
        <f>IFERROR(HLOOKUP(F396,Fee_Lookup!$B$1:$E$2,2,FALSE),"Fee not found")</f>
        <v>0.5</v>
      </c>
      <c r="M396" s="3" t="str">
        <f>IF(AND(SUMIF(Transactions!$C$2:$C$548,C396,Transactions!$E$2:$E$548)&gt;5000,K396&lt;&gt;"East"),"High-Value Merchant Day","Normal")</f>
        <v>Normal</v>
      </c>
    </row>
    <row r="397">
      <c r="A397" s="2" t="s">
        <v>480</v>
      </c>
      <c r="B397" s="2">
        <v>173.0</v>
      </c>
      <c r="C397" s="2">
        <v>19.0</v>
      </c>
      <c r="D397" s="5">
        <v>46028.032638888886</v>
      </c>
      <c r="E397" s="2">
        <v>499.0</v>
      </c>
      <c r="F397" s="2" t="s">
        <v>6</v>
      </c>
      <c r="G397" s="2" t="s">
        <v>64</v>
      </c>
      <c r="H397" s="2">
        <v>72.0</v>
      </c>
      <c r="I397" s="3" t="str">
        <f>IFERROR(VLOOKUP($C397,Merchants!$A$1:$D$41,2,FALSE),"Merchant not found")</f>
        <v>Merchant_019</v>
      </c>
      <c r="J397" s="3" t="str">
        <f>IFERROR(VLOOKUP($C397,Merchants!$A$1:$D$41,3,FALSE),"Merchant not found")</f>
        <v>recharge</v>
      </c>
      <c r="K397" s="3" t="str">
        <f>IFERROR(VLOOKUP($C397,Merchants!$A$1:$D$41,4,FALSE),"Merchant not found")</f>
        <v>North</v>
      </c>
      <c r="L397" s="3">
        <f>IFERROR(HLOOKUP(F397,Fee_Lookup!$B$1:$E$2,2,FALSE),"Fee not found")</f>
        <v>0.5</v>
      </c>
      <c r="M397" s="3" t="str">
        <f>IF(AND(SUMIF(Transactions!$C$2:$C$548,C397,Transactions!$E$2:$E$548)&gt;5000,K397&lt;&gt;"East"),"High-Value Merchant Day","Normal")</f>
        <v>High-Value Merchant Day</v>
      </c>
    </row>
    <row r="398">
      <c r="A398" s="2" t="s">
        <v>481</v>
      </c>
      <c r="B398" s="2">
        <v>313.0</v>
      </c>
      <c r="C398" s="2">
        <v>26.0</v>
      </c>
      <c r="D398" s="5">
        <v>46044.25763888889</v>
      </c>
      <c r="E398" s="2">
        <v>499.0</v>
      </c>
      <c r="F398" s="2" t="s">
        <v>6</v>
      </c>
      <c r="G398" s="2" t="s">
        <v>36</v>
      </c>
      <c r="H398" s="2">
        <v>54.0</v>
      </c>
      <c r="I398" s="3" t="str">
        <f>IFERROR(VLOOKUP($C398,Merchants!$A$1:$D$41,2,FALSE),"Merchant not found")</f>
        <v>Merchant_026</v>
      </c>
      <c r="J398" s="3" t="str">
        <f>IFERROR(VLOOKUP($C398,Merchants!$A$1:$D$41,3,FALSE),"Merchant not found")</f>
        <v>entertainment</v>
      </c>
      <c r="K398" s="3" t="str">
        <f>IFERROR(VLOOKUP($C398,Merchants!$A$1:$D$41,4,FALSE),"Merchant not found")</f>
        <v>West</v>
      </c>
      <c r="L398" s="3">
        <f>IFERROR(HLOOKUP(F398,Fee_Lookup!$B$1:$E$2,2,FALSE),"Fee not found")</f>
        <v>0.5</v>
      </c>
      <c r="M398" s="3" t="str">
        <f>IF(AND(SUMIF(Transactions!$C$2:$C$548,C398,Transactions!$E$2:$E$548)&gt;5000,K398&lt;&gt;"East"),"High-Value Merchant Day","Normal")</f>
        <v>High-Value Merchant Day</v>
      </c>
    </row>
    <row r="399">
      <c r="A399" s="2" t="s">
        <v>482</v>
      </c>
      <c r="B399" s="2">
        <v>206.0</v>
      </c>
      <c r="C399" s="2">
        <v>7.0</v>
      </c>
      <c r="D399" s="5">
        <v>46039.42013888889</v>
      </c>
      <c r="E399" s="2">
        <v>149.0</v>
      </c>
      <c r="F399" s="2" t="s">
        <v>35</v>
      </c>
      <c r="G399" s="2" t="s">
        <v>36</v>
      </c>
      <c r="H399" s="2">
        <v>23.0</v>
      </c>
      <c r="I399" s="3" t="str">
        <f>IFERROR(VLOOKUP($C399,Merchants!$A$1:$D$41,2,FALSE),"Merchant not found")</f>
        <v>Merchant_007</v>
      </c>
      <c r="J399" s="3" t="str">
        <f>IFERROR(VLOOKUP($C399,Merchants!$A$1:$D$41,3,FALSE),"Merchant not found")</f>
        <v>bill_payment</v>
      </c>
      <c r="K399" s="3" t="str">
        <f>IFERROR(VLOOKUP($C399,Merchants!$A$1:$D$41,4,FALSE),"Merchant not found")</f>
        <v>South</v>
      </c>
      <c r="L399" s="3">
        <f>IFERROR(HLOOKUP(F399,Fee_Lookup!$B$1:$E$2,2,FALSE),"Fee not found")</f>
        <v>1</v>
      </c>
      <c r="M399" s="3" t="str">
        <f>IF(AND(SUMIF(Transactions!$C$2:$C$548,C399,Transactions!$E$2:$E$548)&gt;5000,K399&lt;&gt;"East"),"High-Value Merchant Day","Normal")</f>
        <v>High-Value Merchant Day</v>
      </c>
    </row>
    <row r="400">
      <c r="A400" s="2" t="s">
        <v>483</v>
      </c>
      <c r="B400" s="2">
        <v>128.0</v>
      </c>
      <c r="C400" s="2">
        <v>1.0</v>
      </c>
      <c r="D400" s="5">
        <v>46027.63888888889</v>
      </c>
      <c r="E400" s="2">
        <v>1499.0</v>
      </c>
      <c r="F400" s="2" t="s">
        <v>79</v>
      </c>
      <c r="G400" s="2" t="s">
        <v>36</v>
      </c>
      <c r="H400" s="2">
        <v>33.0</v>
      </c>
      <c r="I400" s="3" t="str">
        <f>IFERROR(VLOOKUP($C400,Merchants!$A$1:$D$41,2,FALSE),"Merchant not found")</f>
        <v>Merchant_001</v>
      </c>
      <c r="J400" s="3" t="str">
        <f>IFERROR(VLOOKUP($C400,Merchants!$A$1:$D$41,3,FALSE),"Merchant not found")</f>
        <v>entertainment</v>
      </c>
      <c r="K400" s="3" t="str">
        <f>IFERROR(VLOOKUP($C400,Merchants!$A$1:$D$41,4,FALSE),"Merchant not found")</f>
        <v>West</v>
      </c>
      <c r="L400" s="3">
        <f>IFERROR(HLOOKUP(F400,Fee_Lookup!$B$1:$E$2,2,FALSE),"Fee not found")</f>
        <v>1.5</v>
      </c>
      <c r="M400" s="3" t="str">
        <f>IF(AND(SUMIF(Transactions!$C$2:$C$548,C400,Transactions!$E$2:$E$548)&gt;5000,K400&lt;&gt;"East"),"High-Value Merchant Day","Normal")</f>
        <v>High-Value Merchant Day</v>
      </c>
    </row>
    <row r="401">
      <c r="A401" s="2" t="s">
        <v>484</v>
      </c>
      <c r="B401" s="2">
        <v>137.0</v>
      </c>
      <c r="C401" s="2">
        <v>22.0</v>
      </c>
      <c r="D401" s="5">
        <v>46035.311111111114</v>
      </c>
      <c r="E401" s="2">
        <v>799.0</v>
      </c>
      <c r="F401" s="2" t="s">
        <v>6</v>
      </c>
      <c r="G401" s="2" t="s">
        <v>64</v>
      </c>
      <c r="H401" s="2">
        <v>38.0</v>
      </c>
      <c r="I401" s="3" t="str">
        <f>IFERROR(VLOOKUP($C401,Merchants!$A$1:$D$41,2,FALSE),"Merchant not found")</f>
        <v>Merchant_022</v>
      </c>
      <c r="J401" s="3" t="str">
        <f>IFERROR(VLOOKUP($C401,Merchants!$A$1:$D$41,3,FALSE),"Merchant not found")</f>
        <v>ecommerce</v>
      </c>
      <c r="K401" s="3" t="str">
        <f>IFERROR(VLOOKUP($C401,Merchants!$A$1:$D$41,4,FALSE),"Merchant not found")</f>
        <v>West</v>
      </c>
      <c r="L401" s="3">
        <f>IFERROR(HLOOKUP(F401,Fee_Lookup!$B$1:$E$2,2,FALSE),"Fee not found")</f>
        <v>0.5</v>
      </c>
      <c r="M401" s="3" t="str">
        <f>IF(AND(SUMIF(Transactions!$C$2:$C$548,C401,Transactions!$E$2:$E$548)&gt;5000,K401&lt;&gt;"East"),"High-Value Merchant Day","Normal")</f>
        <v>High-Value Merchant Day</v>
      </c>
    </row>
    <row r="402">
      <c r="A402" s="2" t="s">
        <v>485</v>
      </c>
      <c r="B402" s="2">
        <v>6.0</v>
      </c>
      <c r="C402" s="2">
        <v>17.0</v>
      </c>
      <c r="D402" s="5">
        <v>46041.98333333333</v>
      </c>
      <c r="E402" s="2">
        <v>49.0</v>
      </c>
      <c r="F402" s="2" t="s">
        <v>6</v>
      </c>
      <c r="G402" s="2" t="s">
        <v>36</v>
      </c>
      <c r="H402" s="2">
        <v>83.0</v>
      </c>
      <c r="I402" s="3" t="str">
        <f>IFERROR(VLOOKUP($C402,Merchants!$A$1:$D$41,2,FALSE),"Merchant not found")</f>
        <v>Merchant_017</v>
      </c>
      <c r="J402" s="3" t="str">
        <f>IFERROR(VLOOKUP($C402,Merchants!$A$1:$D$41,3,FALSE),"Merchant not found")</f>
        <v>bill_payment</v>
      </c>
      <c r="K402" s="3" t="str">
        <f>IFERROR(VLOOKUP($C402,Merchants!$A$1:$D$41,4,FALSE),"Merchant not found")</f>
        <v>East</v>
      </c>
      <c r="L402" s="3">
        <f>IFERROR(HLOOKUP(F402,Fee_Lookup!$B$1:$E$2,2,FALSE),"Fee not found")</f>
        <v>0.5</v>
      </c>
      <c r="M402" s="3" t="str">
        <f>IF(AND(SUMIF(Transactions!$C$2:$C$548,C402,Transactions!$E$2:$E$548)&gt;5000,K402&lt;&gt;"East"),"High-Value Merchant Day","Normal")</f>
        <v>Normal</v>
      </c>
    </row>
    <row r="403">
      <c r="A403" s="2" t="s">
        <v>486</v>
      </c>
      <c r="B403" s="2">
        <v>32.0</v>
      </c>
      <c r="C403" s="2">
        <v>8.0</v>
      </c>
      <c r="D403" s="5">
        <v>46034.927083333336</v>
      </c>
      <c r="E403" s="2">
        <v>299.0</v>
      </c>
      <c r="F403" s="2" t="s">
        <v>96</v>
      </c>
      <c r="G403" s="2" t="s">
        <v>36</v>
      </c>
      <c r="H403" s="2">
        <v>59.0</v>
      </c>
      <c r="I403" s="3" t="str">
        <f>IFERROR(VLOOKUP($C403,Merchants!$A$1:$D$41,2,FALSE),"Merchant not found")</f>
        <v>Merchant_008</v>
      </c>
      <c r="J403" s="3" t="str">
        <f>IFERROR(VLOOKUP($C403,Merchants!$A$1:$D$41,3,FALSE),"Merchant not found")</f>
        <v>travel</v>
      </c>
      <c r="K403" s="3" t="str">
        <f>IFERROR(VLOOKUP($C403,Merchants!$A$1:$D$41,4,FALSE),"Merchant not found")</f>
        <v>North</v>
      </c>
      <c r="L403" s="3">
        <f>IFERROR(HLOOKUP(F403,Fee_Lookup!$B$1:$E$2,2,FALSE),"Fee not found")</f>
        <v>1.8</v>
      </c>
      <c r="M403" s="3" t="str">
        <f>IF(AND(SUMIF(Transactions!$C$2:$C$548,C403,Transactions!$E$2:$E$548)&gt;5000,K403&lt;&gt;"East"),"High-Value Merchant Day","Normal")</f>
        <v>High-Value Merchant Day</v>
      </c>
    </row>
    <row r="404">
      <c r="A404" s="2" t="s">
        <v>487</v>
      </c>
      <c r="B404" s="2">
        <v>258.0</v>
      </c>
      <c r="C404" s="2">
        <v>20.0</v>
      </c>
      <c r="D404" s="5">
        <v>46032.225694444445</v>
      </c>
      <c r="E404" s="2">
        <v>149.0</v>
      </c>
      <c r="F404" s="2" t="s">
        <v>6</v>
      </c>
      <c r="G404" s="2" t="s">
        <v>36</v>
      </c>
      <c r="H404" s="2">
        <v>88.0</v>
      </c>
      <c r="I404" s="3" t="str">
        <f>IFERROR(VLOOKUP($C404,Merchants!$A$1:$D$41,2,FALSE),"Merchant not found")</f>
        <v>Merchant_020</v>
      </c>
      <c r="J404" s="3" t="str">
        <f>IFERROR(VLOOKUP($C404,Merchants!$A$1:$D$41,3,FALSE),"Merchant not found")</f>
        <v>entertainment</v>
      </c>
      <c r="K404" s="3" t="str">
        <f>IFERROR(VLOOKUP($C404,Merchants!$A$1:$D$41,4,FALSE),"Merchant not found")</f>
        <v>West</v>
      </c>
      <c r="L404" s="3">
        <f>IFERROR(HLOOKUP(F404,Fee_Lookup!$B$1:$E$2,2,FALSE),"Fee not found")</f>
        <v>0.5</v>
      </c>
      <c r="M404" s="3" t="str">
        <f>IF(AND(SUMIF(Transactions!$C$2:$C$548,C404,Transactions!$E$2:$E$548)&gt;5000,K404&lt;&gt;"East"),"High-Value Merchant Day","Normal")</f>
        <v>Normal</v>
      </c>
    </row>
    <row r="405">
      <c r="A405" s="2" t="s">
        <v>488</v>
      </c>
      <c r="B405" s="2">
        <v>152.0</v>
      </c>
      <c r="C405" s="2">
        <v>24.0</v>
      </c>
      <c r="D405" s="5">
        <v>46026.873611111114</v>
      </c>
      <c r="E405" s="2">
        <v>149.0</v>
      </c>
      <c r="F405" s="2" t="s">
        <v>6</v>
      </c>
      <c r="G405" s="2" t="s">
        <v>62</v>
      </c>
      <c r="H405" s="2">
        <v>78.0</v>
      </c>
      <c r="I405" s="3" t="str">
        <f>IFERROR(VLOOKUP($C405,Merchants!$A$1:$D$41,2,FALSE),"Merchant not found")</f>
        <v>Merchant_024</v>
      </c>
      <c r="J405" s="3" t="str">
        <f>IFERROR(VLOOKUP($C405,Merchants!$A$1:$D$41,3,FALSE),"Merchant not found")</f>
        <v>bill_payment</v>
      </c>
      <c r="K405" s="3" t="str">
        <f>IFERROR(VLOOKUP($C405,Merchants!$A$1:$D$41,4,FALSE),"Merchant not found")</f>
        <v>North</v>
      </c>
      <c r="L405" s="3">
        <f>IFERROR(HLOOKUP(F405,Fee_Lookup!$B$1:$E$2,2,FALSE),"Fee not found")</f>
        <v>0.5</v>
      </c>
      <c r="M405" s="3" t="str">
        <f>IF(AND(SUMIF(Transactions!$C$2:$C$548,C405,Transactions!$E$2:$E$548)&gt;5000,K405&lt;&gt;"East"),"High-Value Merchant Day","Normal")</f>
        <v>Normal</v>
      </c>
    </row>
    <row r="406">
      <c r="A406" s="2" t="s">
        <v>489</v>
      </c>
      <c r="B406" s="2">
        <v>245.0</v>
      </c>
      <c r="C406" s="2">
        <v>10.0</v>
      </c>
      <c r="D406" s="5">
        <v>46030.29722222222</v>
      </c>
      <c r="E406" s="2">
        <v>799.0</v>
      </c>
      <c r="F406" s="2" t="s">
        <v>35</v>
      </c>
      <c r="G406" s="2" t="s">
        <v>36</v>
      </c>
      <c r="H406" s="2">
        <v>58.0</v>
      </c>
      <c r="I406" s="3" t="str">
        <f>IFERROR(VLOOKUP($C406,Merchants!$A$1:$D$41,2,FALSE),"Merchant not found")</f>
        <v>Merchant_010</v>
      </c>
      <c r="J406" s="3" t="str">
        <f>IFERROR(VLOOKUP($C406,Merchants!$A$1:$D$41,3,FALSE),"Merchant not found")</f>
        <v>grocery</v>
      </c>
      <c r="K406" s="3" t="str">
        <f>IFERROR(VLOOKUP($C406,Merchants!$A$1:$D$41,4,FALSE),"Merchant not found")</f>
        <v>East</v>
      </c>
      <c r="L406" s="3">
        <f>IFERROR(HLOOKUP(F406,Fee_Lookup!$B$1:$E$2,2,FALSE),"Fee not found")</f>
        <v>1</v>
      </c>
      <c r="M406" s="3" t="str">
        <f>IF(AND(SUMIF(Transactions!$C$2:$C$548,C406,Transactions!$E$2:$E$548)&gt;5000,K406&lt;&gt;"East"),"High-Value Merchant Day","Normal")</f>
        <v>Normal</v>
      </c>
    </row>
    <row r="407">
      <c r="A407" s="2" t="s">
        <v>490</v>
      </c>
      <c r="B407" s="2">
        <v>213.0</v>
      </c>
      <c r="C407" s="2">
        <v>36.0</v>
      </c>
      <c r="D407" s="5">
        <v>46046.80763888889</v>
      </c>
      <c r="E407" s="2">
        <v>49.0</v>
      </c>
      <c r="F407" s="2" t="s">
        <v>35</v>
      </c>
      <c r="G407" s="2" t="s">
        <v>36</v>
      </c>
      <c r="H407" s="2">
        <v>60.0</v>
      </c>
      <c r="I407" s="3" t="str">
        <f>IFERROR(VLOOKUP($C407,Merchants!$A$1:$D$41,2,FALSE),"Merchant not found")</f>
        <v>Merchant_036</v>
      </c>
      <c r="J407" s="3" t="str">
        <f>IFERROR(VLOOKUP($C407,Merchants!$A$1:$D$41,3,FALSE),"Merchant not found")</f>
        <v>ecommerce</v>
      </c>
      <c r="K407" s="3" t="str">
        <f>IFERROR(VLOOKUP($C407,Merchants!$A$1:$D$41,4,FALSE),"Merchant not found")</f>
        <v>East</v>
      </c>
      <c r="L407" s="3">
        <f>IFERROR(HLOOKUP(F407,Fee_Lookup!$B$1:$E$2,2,FALSE),"Fee not found")</f>
        <v>1</v>
      </c>
      <c r="M407" s="3" t="str">
        <f>IF(AND(SUMIF(Transactions!$C$2:$C$548,C407,Transactions!$E$2:$E$548)&gt;5000,K407&lt;&gt;"East"),"High-Value Merchant Day","Normal")</f>
        <v>Normal</v>
      </c>
    </row>
    <row r="408">
      <c r="A408" s="2" t="s">
        <v>491</v>
      </c>
      <c r="B408" s="2">
        <v>341.0</v>
      </c>
      <c r="C408" s="2">
        <v>14.0</v>
      </c>
      <c r="D408" s="5">
        <v>46047.74375</v>
      </c>
      <c r="E408" s="2">
        <v>99.0</v>
      </c>
      <c r="F408" s="2" t="s">
        <v>79</v>
      </c>
      <c r="G408" s="2" t="s">
        <v>36</v>
      </c>
      <c r="H408" s="2">
        <v>97.0</v>
      </c>
      <c r="I408" s="3" t="str">
        <f>IFERROR(VLOOKUP($C408,Merchants!$A$1:$D$41,2,FALSE),"Merchant not found")</f>
        <v>Merchant_014</v>
      </c>
      <c r="J408" s="3" t="str">
        <f>IFERROR(VLOOKUP($C408,Merchants!$A$1:$D$41,3,FALSE),"Merchant not found")</f>
        <v>grocery</v>
      </c>
      <c r="K408" s="3" t="str">
        <f>IFERROR(VLOOKUP($C408,Merchants!$A$1:$D$41,4,FALSE),"Merchant not found")</f>
        <v>South</v>
      </c>
      <c r="L408" s="3">
        <f>IFERROR(HLOOKUP(F408,Fee_Lookup!$B$1:$E$2,2,FALSE),"Fee not found")</f>
        <v>1.5</v>
      </c>
      <c r="M408" s="3" t="str">
        <f>IF(AND(SUMIF(Transactions!$C$2:$C$548,C408,Transactions!$E$2:$E$548)&gt;5000,K408&lt;&gt;"East"),"High-Value Merchant Day","Normal")</f>
        <v>High-Value Merchant Day</v>
      </c>
    </row>
    <row r="409">
      <c r="A409" s="2" t="s">
        <v>492</v>
      </c>
      <c r="B409" s="2">
        <v>306.0</v>
      </c>
      <c r="C409" s="2">
        <v>6.0</v>
      </c>
      <c r="D409" s="5">
        <v>46030.90833333333</v>
      </c>
      <c r="E409" s="2">
        <v>149.0</v>
      </c>
      <c r="F409" s="2" t="s">
        <v>79</v>
      </c>
      <c r="G409" s="2" t="s">
        <v>36</v>
      </c>
      <c r="H409" s="2">
        <v>67.0</v>
      </c>
      <c r="I409" s="3" t="str">
        <f>IFERROR(VLOOKUP($C409,Merchants!$A$1:$D$41,2,FALSE),"Merchant not found")</f>
        <v>Merchant_006</v>
      </c>
      <c r="J409" s="3" t="str">
        <f>IFERROR(VLOOKUP($C409,Merchants!$A$1:$D$41,3,FALSE),"Merchant not found")</f>
        <v>entertainment</v>
      </c>
      <c r="K409" s="3" t="str">
        <f>IFERROR(VLOOKUP($C409,Merchants!$A$1:$D$41,4,FALSE),"Merchant not found")</f>
        <v>South</v>
      </c>
      <c r="L409" s="3">
        <f>IFERROR(HLOOKUP(F409,Fee_Lookup!$B$1:$E$2,2,FALSE),"Fee not found")</f>
        <v>1.5</v>
      </c>
      <c r="M409" s="3" t="str">
        <f>IF(AND(SUMIF(Transactions!$C$2:$C$548,C409,Transactions!$E$2:$E$548)&gt;5000,K409&lt;&gt;"East"),"High-Value Merchant Day","Normal")</f>
        <v>High-Value Merchant Day</v>
      </c>
    </row>
    <row r="410">
      <c r="A410" s="2" t="s">
        <v>493</v>
      </c>
      <c r="B410" s="2">
        <v>186.0</v>
      </c>
      <c r="C410" s="2">
        <v>5.0</v>
      </c>
      <c r="D410" s="5">
        <v>46037.697916666664</v>
      </c>
      <c r="E410" s="2">
        <v>499.0</v>
      </c>
      <c r="F410" s="2" t="s">
        <v>6</v>
      </c>
      <c r="G410" s="2" t="s">
        <v>36</v>
      </c>
      <c r="H410" s="2">
        <v>72.0</v>
      </c>
      <c r="I410" s="3" t="str">
        <f>IFERROR(VLOOKUP($C410,Merchants!$A$1:$D$41,2,FALSE),"Merchant not found")</f>
        <v>Merchant_005</v>
      </c>
      <c r="J410" s="3" t="str">
        <f>IFERROR(VLOOKUP($C410,Merchants!$A$1:$D$41,3,FALSE),"Merchant not found")</f>
        <v>food_delivery</v>
      </c>
      <c r="K410" s="3" t="str">
        <f>IFERROR(VLOOKUP($C410,Merchants!$A$1:$D$41,4,FALSE),"Merchant not found")</f>
        <v>West</v>
      </c>
      <c r="L410" s="3">
        <f>IFERROR(HLOOKUP(F410,Fee_Lookup!$B$1:$E$2,2,FALSE),"Fee not found")</f>
        <v>0.5</v>
      </c>
      <c r="M410" s="3" t="str">
        <f>IF(AND(SUMIF(Transactions!$C$2:$C$548,C410,Transactions!$E$2:$E$548)&gt;5000,K410&lt;&gt;"East"),"High-Value Merchant Day","Normal")</f>
        <v>High-Value Merchant Day</v>
      </c>
    </row>
    <row r="411">
      <c r="A411" s="2" t="s">
        <v>494</v>
      </c>
      <c r="B411" s="2">
        <v>281.0</v>
      </c>
      <c r="C411" s="2">
        <v>33.0</v>
      </c>
      <c r="D411" s="5">
        <v>46026.07847222222</v>
      </c>
      <c r="E411" s="2">
        <v>4999.0</v>
      </c>
      <c r="F411" s="2" t="s">
        <v>6</v>
      </c>
      <c r="G411" s="2" t="s">
        <v>36</v>
      </c>
      <c r="H411" s="2">
        <v>25.0</v>
      </c>
      <c r="I411" s="3" t="str">
        <f>IFERROR(VLOOKUP($C411,Merchants!$A$1:$D$41,2,FALSE),"Merchant not found")</f>
        <v>Merchant_033</v>
      </c>
      <c r="J411" s="3" t="str">
        <f>IFERROR(VLOOKUP($C411,Merchants!$A$1:$D$41,3,FALSE),"Merchant not found")</f>
        <v>entertainment</v>
      </c>
      <c r="K411" s="3" t="str">
        <f>IFERROR(VLOOKUP($C411,Merchants!$A$1:$D$41,4,FALSE),"Merchant not found")</f>
        <v>East</v>
      </c>
      <c r="L411" s="3">
        <f>IFERROR(HLOOKUP(F411,Fee_Lookup!$B$1:$E$2,2,FALSE),"Fee not found")</f>
        <v>0.5</v>
      </c>
      <c r="M411" s="3" t="str">
        <f>IF(AND(SUMIF(Transactions!$C$2:$C$548,C411,Transactions!$E$2:$E$548)&gt;5000,K411&lt;&gt;"East"),"High-Value Merchant Day","Normal")</f>
        <v>Normal</v>
      </c>
    </row>
    <row r="412">
      <c r="A412" s="2" t="s">
        <v>495</v>
      </c>
      <c r="B412" s="2">
        <v>85.0</v>
      </c>
      <c r="C412" s="2">
        <v>21.0</v>
      </c>
      <c r="D412" s="5">
        <v>46041.714583333334</v>
      </c>
      <c r="E412" s="2">
        <v>99.0</v>
      </c>
      <c r="F412" s="2" t="s">
        <v>6</v>
      </c>
      <c r="G412" s="2" t="s">
        <v>36</v>
      </c>
      <c r="H412" s="2">
        <v>66.0</v>
      </c>
      <c r="I412" s="3" t="str">
        <f>IFERROR(VLOOKUP($C412,Merchants!$A$1:$D$41,2,FALSE),"Merchant not found")</f>
        <v>Merchant_021</v>
      </c>
      <c r="J412" s="3" t="str">
        <f>IFERROR(VLOOKUP($C412,Merchants!$A$1:$D$41,3,FALSE),"Merchant not found")</f>
        <v>food_delivery</v>
      </c>
      <c r="K412" s="3" t="str">
        <f>IFERROR(VLOOKUP($C412,Merchants!$A$1:$D$41,4,FALSE),"Merchant not found")</f>
        <v>North</v>
      </c>
      <c r="L412" s="3">
        <f>IFERROR(HLOOKUP(F412,Fee_Lookup!$B$1:$E$2,2,FALSE),"Fee not found")</f>
        <v>0.5</v>
      </c>
      <c r="M412" s="3" t="str">
        <f>IF(AND(SUMIF(Transactions!$C$2:$C$548,C412,Transactions!$E$2:$E$548)&gt;5000,K412&lt;&gt;"East"),"High-Value Merchant Day","Normal")</f>
        <v>High-Value Merchant Day</v>
      </c>
    </row>
    <row r="413">
      <c r="A413" s="2" t="s">
        <v>496</v>
      </c>
      <c r="B413" s="2">
        <v>106.0</v>
      </c>
      <c r="C413" s="2">
        <v>38.0</v>
      </c>
      <c r="D413" s="5">
        <v>46037.154861111114</v>
      </c>
      <c r="E413" s="2">
        <v>499.0</v>
      </c>
      <c r="F413" s="2" t="s">
        <v>6</v>
      </c>
      <c r="G413" s="2" t="s">
        <v>36</v>
      </c>
      <c r="H413" s="2">
        <v>62.0</v>
      </c>
      <c r="I413" s="3" t="str">
        <f>IFERROR(VLOOKUP($C413,Merchants!$A$1:$D$41,2,FALSE),"Merchant not found")</f>
        <v>Merchant_038</v>
      </c>
      <c r="J413" s="3" t="str">
        <f>IFERROR(VLOOKUP($C413,Merchants!$A$1:$D$41,3,FALSE),"Merchant not found")</f>
        <v>bill_payment</v>
      </c>
      <c r="K413" s="3" t="str">
        <f>IFERROR(VLOOKUP($C413,Merchants!$A$1:$D$41,4,FALSE),"Merchant not found")</f>
        <v>West</v>
      </c>
      <c r="L413" s="3">
        <f>IFERROR(HLOOKUP(F413,Fee_Lookup!$B$1:$E$2,2,FALSE),"Fee not found")</f>
        <v>0.5</v>
      </c>
      <c r="M413" s="3" t="str">
        <f>IF(AND(SUMIF(Transactions!$C$2:$C$548,C413,Transactions!$E$2:$E$548)&gt;5000,K413&lt;&gt;"East"),"High-Value Merchant Day","Normal")</f>
        <v>Normal</v>
      </c>
    </row>
    <row r="414">
      <c r="A414" s="2" t="s">
        <v>497</v>
      </c>
      <c r="B414" s="2">
        <v>29.0</v>
      </c>
      <c r="C414" s="2">
        <v>30.0</v>
      </c>
      <c r="D414" s="5">
        <v>46025.686111111114</v>
      </c>
      <c r="E414" s="2">
        <v>149.0</v>
      </c>
      <c r="F414" s="2" t="s">
        <v>79</v>
      </c>
      <c r="G414" s="2" t="s">
        <v>36</v>
      </c>
      <c r="H414" s="2">
        <v>16.0</v>
      </c>
      <c r="I414" s="3" t="str">
        <f>IFERROR(VLOOKUP($C414,Merchants!$A$1:$D$41,2,FALSE),"Merchant not found")</f>
        <v>Merchant_030</v>
      </c>
      <c r="J414" s="3" t="str">
        <f>IFERROR(VLOOKUP($C414,Merchants!$A$1:$D$41,3,FALSE),"Merchant not found")</f>
        <v>travel</v>
      </c>
      <c r="K414" s="3" t="str">
        <f>IFERROR(VLOOKUP($C414,Merchants!$A$1:$D$41,4,FALSE),"Merchant not found")</f>
        <v>West</v>
      </c>
      <c r="L414" s="3">
        <f>IFERROR(HLOOKUP(F414,Fee_Lookup!$B$1:$E$2,2,FALSE),"Fee not found")</f>
        <v>1.5</v>
      </c>
      <c r="M414" s="3" t="str">
        <f>IF(AND(SUMIF(Transactions!$C$2:$C$548,C414,Transactions!$E$2:$E$548)&gt;5000,K414&lt;&gt;"East"),"High-Value Merchant Day","Normal")</f>
        <v>High-Value Merchant Day</v>
      </c>
    </row>
    <row r="415">
      <c r="A415" s="2" t="s">
        <v>498</v>
      </c>
      <c r="B415" s="2">
        <v>289.0</v>
      </c>
      <c r="C415" s="2">
        <v>4.0</v>
      </c>
      <c r="D415" s="5">
        <v>46039.56180555555</v>
      </c>
      <c r="E415" s="2">
        <v>1499.0</v>
      </c>
      <c r="F415" s="2" t="s">
        <v>96</v>
      </c>
      <c r="G415" s="2" t="s">
        <v>36</v>
      </c>
      <c r="H415" s="2">
        <v>71.0</v>
      </c>
      <c r="I415" s="3" t="str">
        <f>IFERROR(VLOOKUP($C415,Merchants!$A$1:$D$41,2,FALSE),"Merchant not found")</f>
        <v>Merchant_004</v>
      </c>
      <c r="J415" s="3" t="str">
        <f>IFERROR(VLOOKUP($C415,Merchants!$A$1:$D$41,3,FALSE),"Merchant not found")</f>
        <v>grocery</v>
      </c>
      <c r="K415" s="3" t="str">
        <f>IFERROR(VLOOKUP($C415,Merchants!$A$1:$D$41,4,FALSE),"Merchant not found")</f>
        <v>West</v>
      </c>
      <c r="L415" s="3">
        <f>IFERROR(HLOOKUP(F415,Fee_Lookup!$B$1:$E$2,2,FALSE),"Fee not found")</f>
        <v>1.8</v>
      </c>
      <c r="M415" s="3" t="str">
        <f>IF(AND(SUMIF(Transactions!$C$2:$C$548,C415,Transactions!$E$2:$E$548)&gt;5000,K415&lt;&gt;"East"),"High-Value Merchant Day","Normal")</f>
        <v>High-Value Merchant Day</v>
      </c>
    </row>
    <row r="416">
      <c r="A416" s="2" t="s">
        <v>499</v>
      </c>
      <c r="B416" s="2">
        <v>158.0</v>
      </c>
      <c r="C416" s="2">
        <v>2.0</v>
      </c>
      <c r="D416" s="5">
        <v>46037.910416666666</v>
      </c>
      <c r="E416" s="2">
        <v>1499.0</v>
      </c>
      <c r="F416" s="2" t="s">
        <v>96</v>
      </c>
      <c r="G416" s="2" t="s">
        <v>36</v>
      </c>
      <c r="H416" s="2">
        <v>50.0</v>
      </c>
      <c r="I416" s="3" t="str">
        <f>IFERROR(VLOOKUP($C416,Merchants!$A$1:$D$41,2,FALSE),"Merchant not found")</f>
        <v>Merchant_002</v>
      </c>
      <c r="J416" s="3" t="str">
        <f>IFERROR(VLOOKUP($C416,Merchants!$A$1:$D$41,3,FALSE),"Merchant not found")</f>
        <v>recharge</v>
      </c>
      <c r="K416" s="3" t="str">
        <f>IFERROR(VLOOKUP($C416,Merchants!$A$1:$D$41,4,FALSE),"Merchant not found")</f>
        <v>South</v>
      </c>
      <c r="L416" s="3">
        <f>IFERROR(HLOOKUP(F416,Fee_Lookup!$B$1:$E$2,2,FALSE),"Fee not found")</f>
        <v>1.8</v>
      </c>
      <c r="M416" s="3" t="str">
        <f>IF(AND(SUMIF(Transactions!$C$2:$C$548,C416,Transactions!$E$2:$E$548)&gt;5000,K416&lt;&gt;"East"),"High-Value Merchant Day","Normal")</f>
        <v>Normal</v>
      </c>
    </row>
    <row r="417">
      <c r="A417" s="2" t="s">
        <v>500</v>
      </c>
      <c r="B417" s="2">
        <v>112.0</v>
      </c>
      <c r="C417" s="2">
        <v>38.0</v>
      </c>
      <c r="D417" s="5">
        <v>46031.032638888886</v>
      </c>
      <c r="E417" s="2">
        <v>49.0</v>
      </c>
      <c r="F417" s="2" t="s">
        <v>6</v>
      </c>
      <c r="G417" s="2" t="s">
        <v>36</v>
      </c>
      <c r="H417" s="2">
        <v>9.0</v>
      </c>
      <c r="I417" s="3" t="str">
        <f>IFERROR(VLOOKUP($C417,Merchants!$A$1:$D$41,2,FALSE),"Merchant not found")</f>
        <v>Merchant_038</v>
      </c>
      <c r="J417" s="3" t="str">
        <f>IFERROR(VLOOKUP($C417,Merchants!$A$1:$D$41,3,FALSE),"Merchant not found")</f>
        <v>bill_payment</v>
      </c>
      <c r="K417" s="3" t="str">
        <f>IFERROR(VLOOKUP($C417,Merchants!$A$1:$D$41,4,FALSE),"Merchant not found")</f>
        <v>West</v>
      </c>
      <c r="L417" s="3">
        <f>IFERROR(HLOOKUP(F417,Fee_Lookup!$B$1:$E$2,2,FALSE),"Fee not found")</f>
        <v>0.5</v>
      </c>
      <c r="M417" s="3" t="str">
        <f>IF(AND(SUMIF(Transactions!$C$2:$C$548,C417,Transactions!$E$2:$E$548)&gt;5000,K417&lt;&gt;"East"),"High-Value Merchant Day","Normal")</f>
        <v>Normal</v>
      </c>
    </row>
    <row r="418">
      <c r="A418" s="2" t="s">
        <v>501</v>
      </c>
      <c r="B418" s="2">
        <v>33.0</v>
      </c>
      <c r="C418" s="2">
        <v>35.0</v>
      </c>
      <c r="D418" s="5">
        <v>46024.55694444444</v>
      </c>
      <c r="E418" s="2">
        <v>299.0</v>
      </c>
      <c r="F418" s="2" t="s">
        <v>96</v>
      </c>
      <c r="G418" s="2" t="s">
        <v>64</v>
      </c>
      <c r="H418" s="2">
        <v>7.0</v>
      </c>
      <c r="I418" s="3" t="str">
        <f>IFERROR(VLOOKUP($C418,Merchants!$A$1:$D$41,2,FALSE),"Merchant not found")</f>
        <v>Merchant_035</v>
      </c>
      <c r="J418" s="3" t="str">
        <f>IFERROR(VLOOKUP($C418,Merchants!$A$1:$D$41,3,FALSE),"Merchant not found")</f>
        <v>food_delivery</v>
      </c>
      <c r="K418" s="3" t="str">
        <f>IFERROR(VLOOKUP($C418,Merchants!$A$1:$D$41,4,FALSE),"Merchant not found")</f>
        <v>South</v>
      </c>
      <c r="L418" s="3">
        <f>IFERROR(HLOOKUP(F418,Fee_Lookup!$B$1:$E$2,2,FALSE),"Fee not found")</f>
        <v>1.8</v>
      </c>
      <c r="M418" s="3" t="str">
        <f>IF(AND(SUMIF(Transactions!$C$2:$C$548,C418,Transactions!$E$2:$E$548)&gt;5000,K418&lt;&gt;"East"),"High-Value Merchant Day","Normal")</f>
        <v>High-Value Merchant Day</v>
      </c>
    </row>
    <row r="419">
      <c r="A419" s="2" t="s">
        <v>502</v>
      </c>
      <c r="B419" s="2">
        <v>242.0</v>
      </c>
      <c r="C419" s="2">
        <v>3.0</v>
      </c>
      <c r="D419" s="5">
        <v>46052.12430555555</v>
      </c>
      <c r="E419" s="2">
        <v>49.0</v>
      </c>
      <c r="F419" s="2" t="s">
        <v>6</v>
      </c>
      <c r="G419" s="2" t="s">
        <v>36</v>
      </c>
      <c r="H419" s="2">
        <v>36.0</v>
      </c>
      <c r="I419" s="3" t="str">
        <f>IFERROR(VLOOKUP($C419,Merchants!$A$1:$D$41,2,FALSE),"Merchant not found")</f>
        <v>Merchant_003</v>
      </c>
      <c r="J419" s="3" t="str">
        <f>IFERROR(VLOOKUP($C419,Merchants!$A$1:$D$41,3,FALSE),"Merchant not found")</f>
        <v>entertainment</v>
      </c>
      <c r="K419" s="3" t="str">
        <f>IFERROR(VLOOKUP($C419,Merchants!$A$1:$D$41,4,FALSE),"Merchant not found")</f>
        <v>East</v>
      </c>
      <c r="L419" s="3">
        <f>IFERROR(HLOOKUP(F419,Fee_Lookup!$B$1:$E$2,2,FALSE),"Fee not found")</f>
        <v>0.5</v>
      </c>
      <c r="M419" s="3" t="str">
        <f>IF(AND(SUMIF(Transactions!$C$2:$C$548,C419,Transactions!$E$2:$E$548)&gt;5000,K419&lt;&gt;"East"),"High-Value Merchant Day","Normal")</f>
        <v>Normal</v>
      </c>
    </row>
    <row r="420">
      <c r="A420" s="2" t="s">
        <v>503</v>
      </c>
      <c r="B420" s="2">
        <v>70.0</v>
      </c>
      <c r="C420" s="2">
        <v>27.0</v>
      </c>
      <c r="D420" s="5">
        <v>46036.24236111111</v>
      </c>
      <c r="E420" s="2">
        <v>149.0</v>
      </c>
      <c r="F420" s="2" t="s">
        <v>6</v>
      </c>
      <c r="G420" s="2" t="s">
        <v>36</v>
      </c>
      <c r="H420" s="2">
        <v>47.0</v>
      </c>
      <c r="I420" s="3" t="str">
        <f>IFERROR(VLOOKUP($C420,Merchants!$A$1:$D$41,2,FALSE),"Merchant not found")</f>
        <v>Merchant_027</v>
      </c>
      <c r="J420" s="3" t="str">
        <f>IFERROR(VLOOKUP($C420,Merchants!$A$1:$D$41,3,FALSE),"Merchant not found")</f>
        <v>recharge</v>
      </c>
      <c r="K420" s="3" t="str">
        <f>IFERROR(VLOOKUP($C420,Merchants!$A$1:$D$41,4,FALSE),"Merchant not found")</f>
        <v>South</v>
      </c>
      <c r="L420" s="3">
        <f>IFERROR(HLOOKUP(F420,Fee_Lookup!$B$1:$E$2,2,FALSE),"Fee not found")</f>
        <v>0.5</v>
      </c>
      <c r="M420" s="3" t="str">
        <f>IF(AND(SUMIF(Transactions!$C$2:$C$548,C420,Transactions!$E$2:$E$548)&gt;5000,K420&lt;&gt;"East"),"High-Value Merchant Day","Normal")</f>
        <v>High-Value Merchant Day</v>
      </c>
    </row>
    <row r="421">
      <c r="A421" s="2" t="s">
        <v>504</v>
      </c>
      <c r="B421" s="2">
        <v>194.0</v>
      </c>
      <c r="C421" s="2">
        <v>25.0</v>
      </c>
      <c r="D421" s="5">
        <v>46051.51944444444</v>
      </c>
      <c r="E421" s="2">
        <v>49.0</v>
      </c>
      <c r="F421" s="2" t="s">
        <v>35</v>
      </c>
      <c r="G421" s="2" t="s">
        <v>36</v>
      </c>
      <c r="H421" s="2">
        <v>10.0</v>
      </c>
      <c r="I421" s="3" t="str">
        <f>IFERROR(VLOOKUP($C421,Merchants!$A$1:$D$41,2,FALSE),"Merchant not found")</f>
        <v>Merchant_025</v>
      </c>
      <c r="J421" s="3" t="str">
        <f>IFERROR(VLOOKUP($C421,Merchants!$A$1:$D$41,3,FALSE),"Merchant not found")</f>
        <v>grocery</v>
      </c>
      <c r="K421" s="3" t="str">
        <f>IFERROR(VLOOKUP($C421,Merchants!$A$1:$D$41,4,FALSE),"Merchant not found")</f>
        <v>East</v>
      </c>
      <c r="L421" s="3">
        <f>IFERROR(HLOOKUP(F421,Fee_Lookup!$B$1:$E$2,2,FALSE),"Fee not found")</f>
        <v>1</v>
      </c>
      <c r="M421" s="3" t="str">
        <f>IF(AND(SUMIF(Transactions!$C$2:$C$548,C421,Transactions!$E$2:$E$548)&gt;5000,K421&lt;&gt;"East"),"High-Value Merchant Day","Normal")</f>
        <v>Normal</v>
      </c>
    </row>
    <row r="422">
      <c r="A422" s="2" t="s">
        <v>505</v>
      </c>
      <c r="B422" s="2">
        <v>277.0</v>
      </c>
      <c r="C422" s="2">
        <v>9.0</v>
      </c>
      <c r="D422" s="5">
        <v>46044.913194444445</v>
      </c>
      <c r="E422" s="2">
        <v>799.0</v>
      </c>
      <c r="F422" s="2" t="s">
        <v>6</v>
      </c>
      <c r="G422" s="2" t="s">
        <v>36</v>
      </c>
      <c r="H422" s="2">
        <v>83.0</v>
      </c>
      <c r="I422" s="3" t="str">
        <f>IFERROR(VLOOKUP($C422,Merchants!$A$1:$D$41,2,FALSE),"Merchant not found")</f>
        <v>Merchant_009</v>
      </c>
      <c r="J422" s="3" t="str">
        <f>IFERROR(VLOOKUP($C422,Merchants!$A$1:$D$41,3,FALSE),"Merchant not found")</f>
        <v>entertainment</v>
      </c>
      <c r="K422" s="3" t="str">
        <f>IFERROR(VLOOKUP($C422,Merchants!$A$1:$D$41,4,FALSE),"Merchant not found")</f>
        <v>West</v>
      </c>
      <c r="L422" s="3">
        <f>IFERROR(HLOOKUP(F422,Fee_Lookup!$B$1:$E$2,2,FALSE),"Fee not found")</f>
        <v>0.5</v>
      </c>
      <c r="M422" s="3" t="str">
        <f>IF(AND(SUMIF(Transactions!$C$2:$C$548,C422,Transactions!$E$2:$E$548)&gt;5000,K422&lt;&gt;"East"),"High-Value Merchant Day","Normal")</f>
        <v>Normal</v>
      </c>
    </row>
    <row r="423">
      <c r="A423" s="2" t="s">
        <v>506</v>
      </c>
      <c r="B423" s="2">
        <v>92.0</v>
      </c>
      <c r="C423" s="2">
        <v>35.0</v>
      </c>
      <c r="D423" s="5">
        <v>46050.46319444444</v>
      </c>
      <c r="E423" s="2">
        <v>49.0</v>
      </c>
      <c r="F423" s="2" t="s">
        <v>6</v>
      </c>
      <c r="G423" s="2" t="s">
        <v>36</v>
      </c>
      <c r="H423" s="2">
        <v>50.0</v>
      </c>
      <c r="I423" s="3" t="str">
        <f>IFERROR(VLOOKUP($C423,Merchants!$A$1:$D$41,2,FALSE),"Merchant not found")</f>
        <v>Merchant_035</v>
      </c>
      <c r="J423" s="3" t="str">
        <f>IFERROR(VLOOKUP($C423,Merchants!$A$1:$D$41,3,FALSE),"Merchant not found")</f>
        <v>food_delivery</v>
      </c>
      <c r="K423" s="3" t="str">
        <f>IFERROR(VLOOKUP($C423,Merchants!$A$1:$D$41,4,FALSE),"Merchant not found")</f>
        <v>South</v>
      </c>
      <c r="L423" s="3">
        <f>IFERROR(HLOOKUP(F423,Fee_Lookup!$B$1:$E$2,2,FALSE),"Fee not found")</f>
        <v>0.5</v>
      </c>
      <c r="M423" s="3" t="str">
        <f>IF(AND(SUMIF(Transactions!$C$2:$C$548,C423,Transactions!$E$2:$E$548)&gt;5000,K423&lt;&gt;"East"),"High-Value Merchant Day","Normal")</f>
        <v>High-Value Merchant Day</v>
      </c>
    </row>
    <row r="424">
      <c r="A424" s="2" t="s">
        <v>507</v>
      </c>
      <c r="B424" s="2">
        <v>115.0</v>
      </c>
      <c r="C424" s="2">
        <v>1.0</v>
      </c>
      <c r="D424" s="5">
        <v>46039.19861111111</v>
      </c>
      <c r="E424" s="2">
        <v>149.0</v>
      </c>
      <c r="F424" s="2" t="s">
        <v>35</v>
      </c>
      <c r="G424" s="2" t="s">
        <v>36</v>
      </c>
      <c r="H424" s="2">
        <v>96.0</v>
      </c>
      <c r="I424" s="3" t="str">
        <f>IFERROR(VLOOKUP($C424,Merchants!$A$1:$D$41,2,FALSE),"Merchant not found")</f>
        <v>Merchant_001</v>
      </c>
      <c r="J424" s="3" t="str">
        <f>IFERROR(VLOOKUP($C424,Merchants!$A$1:$D$41,3,FALSE),"Merchant not found")</f>
        <v>entertainment</v>
      </c>
      <c r="K424" s="3" t="str">
        <f>IFERROR(VLOOKUP($C424,Merchants!$A$1:$D$41,4,FALSE),"Merchant not found")</f>
        <v>West</v>
      </c>
      <c r="L424" s="3">
        <f>IFERROR(HLOOKUP(F424,Fee_Lookup!$B$1:$E$2,2,FALSE),"Fee not found")</f>
        <v>1</v>
      </c>
      <c r="M424" s="3" t="str">
        <f>IF(AND(SUMIF(Transactions!$C$2:$C$548,C424,Transactions!$E$2:$E$548)&gt;5000,K424&lt;&gt;"East"),"High-Value Merchant Day","Normal")</f>
        <v>High-Value Merchant Day</v>
      </c>
    </row>
    <row r="425">
      <c r="A425" s="2" t="s">
        <v>508</v>
      </c>
      <c r="B425" s="2">
        <v>345.0</v>
      </c>
      <c r="C425" s="2">
        <v>35.0</v>
      </c>
      <c r="D425" s="5">
        <v>46023.39513888889</v>
      </c>
      <c r="E425" s="2">
        <v>499.0</v>
      </c>
      <c r="F425" s="2" t="s">
        <v>96</v>
      </c>
      <c r="G425" s="2" t="s">
        <v>36</v>
      </c>
      <c r="H425" s="2">
        <v>54.0</v>
      </c>
      <c r="I425" s="3" t="str">
        <f>IFERROR(VLOOKUP($C425,Merchants!$A$1:$D$41,2,FALSE),"Merchant not found")</f>
        <v>Merchant_035</v>
      </c>
      <c r="J425" s="3" t="str">
        <f>IFERROR(VLOOKUP($C425,Merchants!$A$1:$D$41,3,FALSE),"Merchant not found")</f>
        <v>food_delivery</v>
      </c>
      <c r="K425" s="3" t="str">
        <f>IFERROR(VLOOKUP($C425,Merchants!$A$1:$D$41,4,FALSE),"Merchant not found")</f>
        <v>South</v>
      </c>
      <c r="L425" s="3">
        <f>IFERROR(HLOOKUP(F425,Fee_Lookup!$B$1:$E$2,2,FALSE),"Fee not found")</f>
        <v>1.8</v>
      </c>
      <c r="M425" s="3" t="str">
        <f>IF(AND(SUMIF(Transactions!$C$2:$C$548,C425,Transactions!$E$2:$E$548)&gt;5000,K425&lt;&gt;"East"),"High-Value Merchant Day","Normal")</f>
        <v>High-Value Merchant Day</v>
      </c>
    </row>
    <row r="426">
      <c r="A426" s="2" t="s">
        <v>509</v>
      </c>
      <c r="B426" s="2">
        <v>118.0</v>
      </c>
      <c r="C426" s="2">
        <v>16.0</v>
      </c>
      <c r="D426" s="5">
        <v>46040.53611111111</v>
      </c>
      <c r="E426" s="2">
        <v>49.0</v>
      </c>
      <c r="F426" s="2" t="s">
        <v>6</v>
      </c>
      <c r="G426" s="2" t="s">
        <v>36</v>
      </c>
      <c r="H426" s="2">
        <v>58.0</v>
      </c>
      <c r="I426" s="3" t="str">
        <f>IFERROR(VLOOKUP($C426,Merchants!$A$1:$D$41,2,FALSE),"Merchant not found")</f>
        <v>Merchant_016</v>
      </c>
      <c r="J426" s="3" t="str">
        <f>IFERROR(VLOOKUP($C426,Merchants!$A$1:$D$41,3,FALSE),"Merchant not found")</f>
        <v>entertainment</v>
      </c>
      <c r="K426" s="3" t="str">
        <f>IFERROR(VLOOKUP($C426,Merchants!$A$1:$D$41,4,FALSE),"Merchant not found")</f>
        <v>North</v>
      </c>
      <c r="L426" s="3">
        <f>IFERROR(HLOOKUP(F426,Fee_Lookup!$B$1:$E$2,2,FALSE),"Fee not found")</f>
        <v>0.5</v>
      </c>
      <c r="M426" s="3" t="str">
        <f>IF(AND(SUMIF(Transactions!$C$2:$C$548,C426,Transactions!$E$2:$E$548)&gt;5000,K426&lt;&gt;"East"),"High-Value Merchant Day","Normal")</f>
        <v>High-Value Merchant Day</v>
      </c>
    </row>
    <row r="427">
      <c r="A427" s="2" t="s">
        <v>510</v>
      </c>
      <c r="B427" s="2">
        <v>97.0</v>
      </c>
      <c r="C427" s="2">
        <v>8.0</v>
      </c>
      <c r="D427" s="5">
        <v>46034.17847222222</v>
      </c>
      <c r="E427" s="2">
        <v>99.0</v>
      </c>
      <c r="F427" s="2" t="s">
        <v>79</v>
      </c>
      <c r="G427" s="2" t="s">
        <v>36</v>
      </c>
      <c r="H427" s="2">
        <v>4.0</v>
      </c>
      <c r="I427" s="3" t="str">
        <f>IFERROR(VLOOKUP($C427,Merchants!$A$1:$D$41,2,FALSE),"Merchant not found")</f>
        <v>Merchant_008</v>
      </c>
      <c r="J427" s="3" t="str">
        <f>IFERROR(VLOOKUP($C427,Merchants!$A$1:$D$41,3,FALSE),"Merchant not found")</f>
        <v>travel</v>
      </c>
      <c r="K427" s="3" t="str">
        <f>IFERROR(VLOOKUP($C427,Merchants!$A$1:$D$41,4,FALSE),"Merchant not found")</f>
        <v>North</v>
      </c>
      <c r="L427" s="3">
        <f>IFERROR(HLOOKUP(F427,Fee_Lookup!$B$1:$E$2,2,FALSE),"Fee not found")</f>
        <v>1.5</v>
      </c>
      <c r="M427" s="3" t="str">
        <f>IF(AND(SUMIF(Transactions!$C$2:$C$548,C427,Transactions!$E$2:$E$548)&gt;5000,K427&lt;&gt;"East"),"High-Value Merchant Day","Normal")</f>
        <v>High-Value Merchant Day</v>
      </c>
    </row>
    <row r="428">
      <c r="A428" s="2" t="s">
        <v>511</v>
      </c>
      <c r="B428" s="2">
        <v>315.0</v>
      </c>
      <c r="C428" s="2">
        <v>2.0</v>
      </c>
      <c r="D428" s="5">
        <v>46048.893055555556</v>
      </c>
      <c r="E428" s="2">
        <v>299.0</v>
      </c>
      <c r="F428" s="2" t="s">
        <v>35</v>
      </c>
      <c r="G428" s="2" t="s">
        <v>36</v>
      </c>
      <c r="H428" s="2">
        <v>30.0</v>
      </c>
      <c r="I428" s="3" t="str">
        <f>IFERROR(VLOOKUP($C428,Merchants!$A$1:$D$41,2,FALSE),"Merchant not found")</f>
        <v>Merchant_002</v>
      </c>
      <c r="J428" s="3" t="str">
        <f>IFERROR(VLOOKUP($C428,Merchants!$A$1:$D$41,3,FALSE),"Merchant not found")</f>
        <v>recharge</v>
      </c>
      <c r="K428" s="3" t="str">
        <f>IFERROR(VLOOKUP($C428,Merchants!$A$1:$D$41,4,FALSE),"Merchant not found")</f>
        <v>South</v>
      </c>
      <c r="L428" s="3">
        <f>IFERROR(HLOOKUP(F428,Fee_Lookup!$B$1:$E$2,2,FALSE),"Fee not found")</f>
        <v>1</v>
      </c>
      <c r="M428" s="3" t="str">
        <f>IF(AND(SUMIF(Transactions!$C$2:$C$548,C428,Transactions!$E$2:$E$548)&gt;5000,K428&lt;&gt;"East"),"High-Value Merchant Day","Normal")</f>
        <v>Normal</v>
      </c>
    </row>
    <row r="429">
      <c r="A429" s="2" t="s">
        <v>512</v>
      </c>
      <c r="B429" s="2">
        <v>305.0</v>
      </c>
      <c r="C429" s="2">
        <v>3.0</v>
      </c>
      <c r="D429" s="5">
        <v>46029.0875</v>
      </c>
      <c r="E429" s="2">
        <v>299.0</v>
      </c>
      <c r="F429" s="2" t="s">
        <v>6</v>
      </c>
      <c r="G429" s="2" t="s">
        <v>36</v>
      </c>
      <c r="H429" s="2">
        <v>57.0</v>
      </c>
      <c r="I429" s="3" t="str">
        <f>IFERROR(VLOOKUP($C429,Merchants!$A$1:$D$41,2,FALSE),"Merchant not found")</f>
        <v>Merchant_003</v>
      </c>
      <c r="J429" s="3" t="str">
        <f>IFERROR(VLOOKUP($C429,Merchants!$A$1:$D$41,3,FALSE),"Merchant not found")</f>
        <v>entertainment</v>
      </c>
      <c r="K429" s="3" t="str">
        <f>IFERROR(VLOOKUP($C429,Merchants!$A$1:$D$41,4,FALSE),"Merchant not found")</f>
        <v>East</v>
      </c>
      <c r="L429" s="3">
        <f>IFERROR(HLOOKUP(F429,Fee_Lookup!$B$1:$E$2,2,FALSE),"Fee not found")</f>
        <v>0.5</v>
      </c>
      <c r="M429" s="3" t="str">
        <f>IF(AND(SUMIF(Transactions!$C$2:$C$548,C429,Transactions!$E$2:$E$548)&gt;5000,K429&lt;&gt;"East"),"High-Value Merchant Day","Normal")</f>
        <v>Normal</v>
      </c>
    </row>
    <row r="430">
      <c r="A430" s="2" t="s">
        <v>513</v>
      </c>
      <c r="B430" s="2">
        <v>25.0</v>
      </c>
      <c r="C430" s="2">
        <v>16.0</v>
      </c>
      <c r="D430" s="5">
        <v>46042.90625</v>
      </c>
      <c r="E430" s="2">
        <v>299.0</v>
      </c>
      <c r="F430" s="2" t="s">
        <v>6</v>
      </c>
      <c r="G430" s="2" t="s">
        <v>36</v>
      </c>
      <c r="H430" s="2">
        <v>94.0</v>
      </c>
      <c r="I430" s="3" t="str">
        <f>IFERROR(VLOOKUP($C430,Merchants!$A$1:$D$41,2,FALSE),"Merchant not found")</f>
        <v>Merchant_016</v>
      </c>
      <c r="J430" s="3" t="str">
        <f>IFERROR(VLOOKUP($C430,Merchants!$A$1:$D$41,3,FALSE),"Merchant not found")</f>
        <v>entertainment</v>
      </c>
      <c r="K430" s="3" t="str">
        <f>IFERROR(VLOOKUP($C430,Merchants!$A$1:$D$41,4,FALSE),"Merchant not found")</f>
        <v>North</v>
      </c>
      <c r="L430" s="3">
        <f>IFERROR(HLOOKUP(F430,Fee_Lookup!$B$1:$E$2,2,FALSE),"Fee not found")</f>
        <v>0.5</v>
      </c>
      <c r="M430" s="3" t="str">
        <f>IF(AND(SUMIF(Transactions!$C$2:$C$548,C430,Transactions!$E$2:$E$548)&gt;5000,K430&lt;&gt;"East"),"High-Value Merchant Day","Normal")</f>
        <v>High-Value Merchant Day</v>
      </c>
    </row>
    <row r="431">
      <c r="A431" s="2" t="s">
        <v>514</v>
      </c>
      <c r="B431" s="2">
        <v>120.0</v>
      </c>
      <c r="C431" s="2">
        <v>35.0</v>
      </c>
      <c r="D431" s="5">
        <v>46024.51944444444</v>
      </c>
      <c r="E431" s="2">
        <v>49.0</v>
      </c>
      <c r="F431" s="2" t="s">
        <v>6</v>
      </c>
      <c r="G431" s="2" t="s">
        <v>36</v>
      </c>
      <c r="H431" s="2">
        <v>27.0</v>
      </c>
      <c r="I431" s="3" t="str">
        <f>IFERROR(VLOOKUP($C431,Merchants!$A$1:$D$41,2,FALSE),"Merchant not found")</f>
        <v>Merchant_035</v>
      </c>
      <c r="J431" s="3" t="str">
        <f>IFERROR(VLOOKUP($C431,Merchants!$A$1:$D$41,3,FALSE),"Merchant not found")</f>
        <v>food_delivery</v>
      </c>
      <c r="K431" s="3" t="str">
        <f>IFERROR(VLOOKUP($C431,Merchants!$A$1:$D$41,4,FALSE),"Merchant not found")</f>
        <v>South</v>
      </c>
      <c r="L431" s="3">
        <f>IFERROR(HLOOKUP(F431,Fee_Lookup!$B$1:$E$2,2,FALSE),"Fee not found")</f>
        <v>0.5</v>
      </c>
      <c r="M431" s="3" t="str">
        <f>IF(AND(SUMIF(Transactions!$C$2:$C$548,C431,Transactions!$E$2:$E$548)&gt;5000,K431&lt;&gt;"East"),"High-Value Merchant Day","Normal")</f>
        <v>High-Value Merchant Day</v>
      </c>
    </row>
    <row r="432">
      <c r="A432" s="2" t="s">
        <v>515</v>
      </c>
      <c r="B432" s="2">
        <v>258.0</v>
      </c>
      <c r="C432" s="2">
        <v>19.0</v>
      </c>
      <c r="D432" s="5">
        <v>46047.04722222222</v>
      </c>
      <c r="E432" s="2">
        <v>49.0</v>
      </c>
      <c r="F432" s="2" t="s">
        <v>35</v>
      </c>
      <c r="G432" s="2" t="s">
        <v>36</v>
      </c>
      <c r="H432" s="2">
        <v>29.0</v>
      </c>
      <c r="I432" s="3" t="str">
        <f>IFERROR(VLOOKUP($C432,Merchants!$A$1:$D$41,2,FALSE),"Merchant not found")</f>
        <v>Merchant_019</v>
      </c>
      <c r="J432" s="3" t="str">
        <f>IFERROR(VLOOKUP($C432,Merchants!$A$1:$D$41,3,FALSE),"Merchant not found")</f>
        <v>recharge</v>
      </c>
      <c r="K432" s="3" t="str">
        <f>IFERROR(VLOOKUP($C432,Merchants!$A$1:$D$41,4,FALSE),"Merchant not found")</f>
        <v>North</v>
      </c>
      <c r="L432" s="3">
        <f>IFERROR(HLOOKUP(F432,Fee_Lookup!$B$1:$E$2,2,FALSE),"Fee not found")</f>
        <v>1</v>
      </c>
      <c r="M432" s="3" t="str">
        <f>IF(AND(SUMIF(Transactions!$C$2:$C$548,C432,Transactions!$E$2:$E$548)&gt;5000,K432&lt;&gt;"East"),"High-Value Merchant Day","Normal")</f>
        <v>High-Value Merchant Day</v>
      </c>
    </row>
    <row r="433">
      <c r="A433" s="2" t="s">
        <v>516</v>
      </c>
      <c r="B433" s="2">
        <v>164.0</v>
      </c>
      <c r="C433" s="2">
        <v>37.0</v>
      </c>
      <c r="D433" s="5">
        <v>46049.98333333333</v>
      </c>
      <c r="E433" s="2">
        <v>799.0</v>
      </c>
      <c r="F433" s="2" t="s">
        <v>6</v>
      </c>
      <c r="G433" s="2" t="s">
        <v>36</v>
      </c>
      <c r="H433" s="2">
        <v>76.0</v>
      </c>
      <c r="I433" s="3" t="str">
        <f>IFERROR(VLOOKUP($C433,Merchants!$A$1:$D$41,2,FALSE),"Merchant not found")</f>
        <v>Merchant_037</v>
      </c>
      <c r="J433" s="3" t="str">
        <f>IFERROR(VLOOKUP($C433,Merchants!$A$1:$D$41,3,FALSE),"Merchant not found")</f>
        <v>travel</v>
      </c>
      <c r="K433" s="3" t="str">
        <f>IFERROR(VLOOKUP($C433,Merchants!$A$1:$D$41,4,FALSE),"Merchant not found")</f>
        <v>North</v>
      </c>
      <c r="L433" s="3">
        <f>IFERROR(HLOOKUP(F433,Fee_Lookup!$B$1:$E$2,2,FALSE),"Fee not found")</f>
        <v>0.5</v>
      </c>
      <c r="M433" s="3" t="str">
        <f>IF(AND(SUMIF(Transactions!$C$2:$C$548,C433,Transactions!$E$2:$E$548)&gt;5000,K433&lt;&gt;"East"),"High-Value Merchant Day","Normal")</f>
        <v>High-Value Merchant Day</v>
      </c>
    </row>
    <row r="434">
      <c r="A434" s="2" t="s">
        <v>517</v>
      </c>
      <c r="B434" s="2">
        <v>165.0</v>
      </c>
      <c r="C434" s="2">
        <v>16.0</v>
      </c>
      <c r="D434" s="5">
        <v>46047.91111111111</v>
      </c>
      <c r="E434" s="2">
        <v>49.0</v>
      </c>
      <c r="F434" s="2" t="s">
        <v>35</v>
      </c>
      <c r="G434" s="2" t="s">
        <v>36</v>
      </c>
      <c r="H434" s="2">
        <v>38.0</v>
      </c>
      <c r="I434" s="3" t="str">
        <f>IFERROR(VLOOKUP($C434,Merchants!$A$1:$D$41,2,FALSE),"Merchant not found")</f>
        <v>Merchant_016</v>
      </c>
      <c r="J434" s="3" t="str">
        <f>IFERROR(VLOOKUP($C434,Merchants!$A$1:$D$41,3,FALSE),"Merchant not found")</f>
        <v>entertainment</v>
      </c>
      <c r="K434" s="3" t="str">
        <f>IFERROR(VLOOKUP($C434,Merchants!$A$1:$D$41,4,FALSE),"Merchant not found")</f>
        <v>North</v>
      </c>
      <c r="L434" s="3">
        <f>IFERROR(HLOOKUP(F434,Fee_Lookup!$B$1:$E$2,2,FALSE),"Fee not found")</f>
        <v>1</v>
      </c>
      <c r="M434" s="3" t="str">
        <f>IF(AND(SUMIF(Transactions!$C$2:$C$548,C434,Transactions!$E$2:$E$548)&gt;5000,K434&lt;&gt;"East"),"High-Value Merchant Day","Normal")</f>
        <v>High-Value Merchant Day</v>
      </c>
    </row>
    <row r="435">
      <c r="A435" s="2" t="s">
        <v>518</v>
      </c>
      <c r="B435" s="2">
        <v>267.0</v>
      </c>
      <c r="C435" s="2">
        <v>15.0</v>
      </c>
      <c r="D435" s="5">
        <v>46051.19583333333</v>
      </c>
      <c r="E435" s="2">
        <v>49.0</v>
      </c>
      <c r="F435" s="2" t="s">
        <v>79</v>
      </c>
      <c r="G435" s="2" t="s">
        <v>36</v>
      </c>
      <c r="H435" s="2">
        <v>52.0</v>
      </c>
      <c r="I435" s="3" t="str">
        <f>IFERROR(VLOOKUP($C435,Merchants!$A$1:$D$41,2,FALSE),"Merchant not found")</f>
        <v>Merchant_015</v>
      </c>
      <c r="J435" s="3" t="str">
        <f>IFERROR(VLOOKUP($C435,Merchants!$A$1:$D$41,3,FALSE),"Merchant not found")</f>
        <v>travel</v>
      </c>
      <c r="K435" s="3" t="str">
        <f>IFERROR(VLOOKUP($C435,Merchants!$A$1:$D$41,4,FALSE),"Merchant not found")</f>
        <v>West</v>
      </c>
      <c r="L435" s="3">
        <f>IFERROR(HLOOKUP(F435,Fee_Lookup!$B$1:$E$2,2,FALSE),"Fee not found")</f>
        <v>1.5</v>
      </c>
      <c r="M435" s="3" t="str">
        <f>IF(AND(SUMIF(Transactions!$C$2:$C$548,C435,Transactions!$E$2:$E$548)&gt;5000,K435&lt;&gt;"East"),"High-Value Merchant Day","Normal")</f>
        <v>High-Value Merchant Day</v>
      </c>
    </row>
    <row r="436">
      <c r="A436" s="2" t="s">
        <v>519</v>
      </c>
      <c r="B436" s="2">
        <v>286.0</v>
      </c>
      <c r="C436" s="2">
        <v>38.0</v>
      </c>
      <c r="D436" s="5">
        <v>46032.33541666667</v>
      </c>
      <c r="E436" s="2">
        <v>299.0</v>
      </c>
      <c r="F436" s="2" t="s">
        <v>35</v>
      </c>
      <c r="G436" s="2" t="s">
        <v>36</v>
      </c>
      <c r="H436" s="2">
        <v>94.0</v>
      </c>
      <c r="I436" s="3" t="str">
        <f>IFERROR(VLOOKUP($C436,Merchants!$A$1:$D$41,2,FALSE),"Merchant not found")</f>
        <v>Merchant_038</v>
      </c>
      <c r="J436" s="3" t="str">
        <f>IFERROR(VLOOKUP($C436,Merchants!$A$1:$D$41,3,FALSE),"Merchant not found")</f>
        <v>bill_payment</v>
      </c>
      <c r="K436" s="3" t="str">
        <f>IFERROR(VLOOKUP($C436,Merchants!$A$1:$D$41,4,FALSE),"Merchant not found")</f>
        <v>West</v>
      </c>
      <c r="L436" s="3">
        <f>IFERROR(HLOOKUP(F436,Fee_Lookup!$B$1:$E$2,2,FALSE),"Fee not found")</f>
        <v>1</v>
      </c>
      <c r="M436" s="3" t="str">
        <f>IF(AND(SUMIF(Transactions!$C$2:$C$548,C436,Transactions!$E$2:$E$548)&gt;5000,K436&lt;&gt;"East"),"High-Value Merchant Day","Normal")</f>
        <v>Normal</v>
      </c>
    </row>
    <row r="437">
      <c r="A437" s="2" t="s">
        <v>520</v>
      </c>
      <c r="B437" s="2">
        <v>348.0</v>
      </c>
      <c r="C437" s="2">
        <v>28.0</v>
      </c>
      <c r="D437" s="5">
        <v>46052.23611111111</v>
      </c>
      <c r="E437" s="2">
        <v>499.0</v>
      </c>
      <c r="F437" s="2" t="s">
        <v>96</v>
      </c>
      <c r="G437" s="2" t="s">
        <v>36</v>
      </c>
      <c r="H437" s="2">
        <v>71.0</v>
      </c>
      <c r="I437" s="3" t="str">
        <f>IFERROR(VLOOKUP($C437,Merchants!$A$1:$D$41,2,FALSE),"Merchant not found")</f>
        <v>Merchant_028</v>
      </c>
      <c r="J437" s="3" t="str">
        <f>IFERROR(VLOOKUP($C437,Merchants!$A$1:$D$41,3,FALSE),"Merchant not found")</f>
        <v>food_delivery</v>
      </c>
      <c r="K437" s="3" t="str">
        <f>IFERROR(VLOOKUP($C437,Merchants!$A$1:$D$41,4,FALSE),"Merchant not found")</f>
        <v>East</v>
      </c>
      <c r="L437" s="3">
        <f>IFERROR(HLOOKUP(F437,Fee_Lookup!$B$1:$E$2,2,FALSE),"Fee not found")</f>
        <v>1.8</v>
      </c>
      <c r="M437" s="3" t="str">
        <f>IF(AND(SUMIF(Transactions!$C$2:$C$548,C437,Transactions!$E$2:$E$548)&gt;5000,K437&lt;&gt;"East"),"High-Value Merchant Day","Normal")</f>
        <v>Normal</v>
      </c>
    </row>
    <row r="438">
      <c r="A438" s="2" t="s">
        <v>521</v>
      </c>
      <c r="B438" s="2">
        <v>330.0</v>
      </c>
      <c r="C438" s="2">
        <v>25.0</v>
      </c>
      <c r="D438" s="5">
        <v>46038.05694444444</v>
      </c>
      <c r="E438" s="2">
        <v>799.0</v>
      </c>
      <c r="F438" s="2" t="s">
        <v>6</v>
      </c>
      <c r="G438" s="2" t="s">
        <v>36</v>
      </c>
      <c r="H438" s="2">
        <v>100.0</v>
      </c>
      <c r="I438" s="3" t="str">
        <f>IFERROR(VLOOKUP($C438,Merchants!$A$1:$D$41,2,FALSE),"Merchant not found")</f>
        <v>Merchant_025</v>
      </c>
      <c r="J438" s="3" t="str">
        <f>IFERROR(VLOOKUP($C438,Merchants!$A$1:$D$41,3,FALSE),"Merchant not found")</f>
        <v>grocery</v>
      </c>
      <c r="K438" s="3" t="str">
        <f>IFERROR(VLOOKUP($C438,Merchants!$A$1:$D$41,4,FALSE),"Merchant not found")</f>
        <v>East</v>
      </c>
      <c r="L438" s="3">
        <f>IFERROR(HLOOKUP(F438,Fee_Lookup!$B$1:$E$2,2,FALSE),"Fee not found")</f>
        <v>0.5</v>
      </c>
      <c r="M438" s="3" t="str">
        <f>IF(AND(SUMIF(Transactions!$C$2:$C$548,C438,Transactions!$E$2:$E$548)&gt;5000,K438&lt;&gt;"East"),"High-Value Merchant Day","Normal")</f>
        <v>Normal</v>
      </c>
    </row>
    <row r="439">
      <c r="A439" s="2" t="s">
        <v>522</v>
      </c>
      <c r="B439" s="2">
        <v>214.0</v>
      </c>
      <c r="C439" s="2">
        <v>27.0</v>
      </c>
      <c r="D439" s="5">
        <v>46039.447222222225</v>
      </c>
      <c r="E439" s="2">
        <v>299.0</v>
      </c>
      <c r="F439" s="2" t="s">
        <v>96</v>
      </c>
      <c r="G439" s="2" t="s">
        <v>36</v>
      </c>
      <c r="H439" s="2">
        <v>19.0</v>
      </c>
      <c r="I439" s="3" t="str">
        <f>IFERROR(VLOOKUP($C439,Merchants!$A$1:$D$41,2,FALSE),"Merchant not found")</f>
        <v>Merchant_027</v>
      </c>
      <c r="J439" s="3" t="str">
        <f>IFERROR(VLOOKUP($C439,Merchants!$A$1:$D$41,3,FALSE),"Merchant not found")</f>
        <v>recharge</v>
      </c>
      <c r="K439" s="3" t="str">
        <f>IFERROR(VLOOKUP($C439,Merchants!$A$1:$D$41,4,FALSE),"Merchant not found")</f>
        <v>South</v>
      </c>
      <c r="L439" s="3">
        <f>IFERROR(HLOOKUP(F439,Fee_Lookup!$B$1:$E$2,2,FALSE),"Fee not found")</f>
        <v>1.8</v>
      </c>
      <c r="M439" s="3" t="str">
        <f>IF(AND(SUMIF(Transactions!$C$2:$C$548,C439,Transactions!$E$2:$E$548)&gt;5000,K439&lt;&gt;"East"),"High-Value Merchant Day","Normal")</f>
        <v>High-Value Merchant Day</v>
      </c>
    </row>
    <row r="440">
      <c r="A440" s="2" t="s">
        <v>523</v>
      </c>
      <c r="B440" s="2">
        <v>276.0</v>
      </c>
      <c r="C440" s="2">
        <v>31.0</v>
      </c>
      <c r="D440" s="5">
        <v>46032.50763888889</v>
      </c>
      <c r="E440" s="2">
        <v>499.0</v>
      </c>
      <c r="F440" s="2" t="s">
        <v>6</v>
      </c>
      <c r="G440" s="2" t="s">
        <v>36</v>
      </c>
      <c r="H440" s="2">
        <v>30.0</v>
      </c>
      <c r="I440" s="3" t="str">
        <f>IFERROR(VLOOKUP($C440,Merchants!$A$1:$D$41,2,FALSE),"Merchant not found")</f>
        <v>Merchant_031</v>
      </c>
      <c r="J440" s="3" t="str">
        <f>IFERROR(VLOOKUP($C440,Merchants!$A$1:$D$41,3,FALSE),"Merchant not found")</f>
        <v>bill_payment</v>
      </c>
      <c r="K440" s="3" t="str">
        <f>IFERROR(VLOOKUP($C440,Merchants!$A$1:$D$41,4,FALSE),"Merchant not found")</f>
        <v>South</v>
      </c>
      <c r="L440" s="3">
        <f>IFERROR(HLOOKUP(F440,Fee_Lookup!$B$1:$E$2,2,FALSE),"Fee not found")</f>
        <v>0.5</v>
      </c>
      <c r="M440" s="3" t="str">
        <f>IF(AND(SUMIF(Transactions!$C$2:$C$548,C440,Transactions!$E$2:$E$548)&gt;5000,K440&lt;&gt;"East"),"High-Value Merchant Day","Normal")</f>
        <v>Normal</v>
      </c>
    </row>
    <row r="441">
      <c r="A441" s="2" t="s">
        <v>524</v>
      </c>
      <c r="B441" s="2">
        <v>74.0</v>
      </c>
      <c r="C441" s="2">
        <v>30.0</v>
      </c>
      <c r="D441" s="5">
        <v>46050.30486111111</v>
      </c>
      <c r="E441" s="2">
        <v>49.0</v>
      </c>
      <c r="F441" s="2" t="s">
        <v>6</v>
      </c>
      <c r="G441" s="2" t="s">
        <v>36</v>
      </c>
      <c r="H441" s="2">
        <v>7.0</v>
      </c>
      <c r="I441" s="3" t="str">
        <f>IFERROR(VLOOKUP($C441,Merchants!$A$1:$D$41,2,FALSE),"Merchant not found")</f>
        <v>Merchant_030</v>
      </c>
      <c r="J441" s="3" t="str">
        <f>IFERROR(VLOOKUP($C441,Merchants!$A$1:$D$41,3,FALSE),"Merchant not found")</f>
        <v>travel</v>
      </c>
      <c r="K441" s="3" t="str">
        <f>IFERROR(VLOOKUP($C441,Merchants!$A$1:$D$41,4,FALSE),"Merchant not found")</f>
        <v>West</v>
      </c>
      <c r="L441" s="3">
        <f>IFERROR(HLOOKUP(F441,Fee_Lookup!$B$1:$E$2,2,FALSE),"Fee not found")</f>
        <v>0.5</v>
      </c>
      <c r="M441" s="3" t="str">
        <f>IF(AND(SUMIF(Transactions!$C$2:$C$548,C441,Transactions!$E$2:$E$548)&gt;5000,K441&lt;&gt;"East"),"High-Value Merchant Day","Normal")</f>
        <v>High-Value Merchant Day</v>
      </c>
    </row>
    <row r="442">
      <c r="A442" s="2" t="s">
        <v>525</v>
      </c>
      <c r="B442" s="2">
        <v>286.0</v>
      </c>
      <c r="C442" s="2">
        <v>34.0</v>
      </c>
      <c r="D442" s="5">
        <v>46040.55972222222</v>
      </c>
      <c r="E442" s="2">
        <v>49.0</v>
      </c>
      <c r="F442" s="2" t="s">
        <v>96</v>
      </c>
      <c r="G442" s="2" t="s">
        <v>36</v>
      </c>
      <c r="H442" s="2">
        <v>17.0</v>
      </c>
      <c r="I442" s="3" t="str">
        <f>IFERROR(VLOOKUP($C442,Merchants!$A$1:$D$41,2,FALSE),"Merchant not found")</f>
        <v>Merchant_034</v>
      </c>
      <c r="J442" s="3" t="str">
        <f>IFERROR(VLOOKUP($C442,Merchants!$A$1:$D$41,3,FALSE),"Merchant not found")</f>
        <v>recharge</v>
      </c>
      <c r="K442" s="3" t="str">
        <f>IFERROR(VLOOKUP($C442,Merchants!$A$1:$D$41,4,FALSE),"Merchant not found")</f>
        <v>West</v>
      </c>
      <c r="L442" s="3">
        <f>IFERROR(HLOOKUP(F442,Fee_Lookup!$B$1:$E$2,2,FALSE),"Fee not found")</f>
        <v>1.8</v>
      </c>
      <c r="M442" s="3" t="str">
        <f>IF(AND(SUMIF(Transactions!$C$2:$C$548,C442,Transactions!$E$2:$E$548)&gt;5000,K442&lt;&gt;"East"),"High-Value Merchant Day","Normal")</f>
        <v>High-Value Merchant Day</v>
      </c>
    </row>
    <row r="443">
      <c r="A443" s="2" t="s">
        <v>526</v>
      </c>
      <c r="B443" s="2">
        <v>105.0</v>
      </c>
      <c r="C443" s="2">
        <v>22.0</v>
      </c>
      <c r="D443" s="5">
        <v>46035.302777777775</v>
      </c>
      <c r="E443" s="2">
        <v>4999.0</v>
      </c>
      <c r="F443" s="2" t="s">
        <v>6</v>
      </c>
      <c r="G443" s="2" t="s">
        <v>36</v>
      </c>
      <c r="H443" s="2">
        <v>82.0</v>
      </c>
      <c r="I443" s="3" t="str">
        <f>IFERROR(VLOOKUP($C443,Merchants!$A$1:$D$41,2,FALSE),"Merchant not found")</f>
        <v>Merchant_022</v>
      </c>
      <c r="J443" s="3" t="str">
        <f>IFERROR(VLOOKUP($C443,Merchants!$A$1:$D$41,3,FALSE),"Merchant not found")</f>
        <v>ecommerce</v>
      </c>
      <c r="K443" s="3" t="str">
        <f>IFERROR(VLOOKUP($C443,Merchants!$A$1:$D$41,4,FALSE),"Merchant not found")</f>
        <v>West</v>
      </c>
      <c r="L443" s="3">
        <f>IFERROR(HLOOKUP(F443,Fee_Lookup!$B$1:$E$2,2,FALSE),"Fee not found")</f>
        <v>0.5</v>
      </c>
      <c r="M443" s="3" t="str">
        <f>IF(AND(SUMIF(Transactions!$C$2:$C$548,C443,Transactions!$E$2:$E$548)&gt;5000,K443&lt;&gt;"East"),"High-Value Merchant Day","Normal")</f>
        <v>High-Value Merchant Day</v>
      </c>
    </row>
    <row r="444">
      <c r="A444" s="2" t="s">
        <v>527</v>
      </c>
      <c r="B444" s="2">
        <v>190.0</v>
      </c>
      <c r="C444" s="2">
        <v>6.0</v>
      </c>
      <c r="D444" s="5">
        <v>46025.620833333334</v>
      </c>
      <c r="E444" s="2">
        <v>799.0</v>
      </c>
      <c r="F444" s="2" t="s">
        <v>35</v>
      </c>
      <c r="G444" s="2" t="s">
        <v>36</v>
      </c>
      <c r="H444" s="2">
        <v>68.0</v>
      </c>
      <c r="I444" s="3" t="str">
        <f>IFERROR(VLOOKUP($C444,Merchants!$A$1:$D$41,2,FALSE),"Merchant not found")</f>
        <v>Merchant_006</v>
      </c>
      <c r="J444" s="3" t="str">
        <f>IFERROR(VLOOKUP($C444,Merchants!$A$1:$D$41,3,FALSE),"Merchant not found")</f>
        <v>entertainment</v>
      </c>
      <c r="K444" s="3" t="str">
        <f>IFERROR(VLOOKUP($C444,Merchants!$A$1:$D$41,4,FALSE),"Merchant not found")</f>
        <v>South</v>
      </c>
      <c r="L444" s="3">
        <f>IFERROR(HLOOKUP(F444,Fee_Lookup!$B$1:$E$2,2,FALSE),"Fee not found")</f>
        <v>1</v>
      </c>
      <c r="M444" s="3" t="str">
        <f>IF(AND(SUMIF(Transactions!$C$2:$C$548,C444,Transactions!$E$2:$E$548)&gt;5000,K444&lt;&gt;"East"),"High-Value Merchant Day","Normal")</f>
        <v>High-Value Merchant Day</v>
      </c>
    </row>
    <row r="445">
      <c r="A445" s="2" t="s">
        <v>528</v>
      </c>
      <c r="B445" s="2">
        <v>138.0</v>
      </c>
      <c r="C445" s="2">
        <v>25.0</v>
      </c>
      <c r="D445" s="5">
        <v>46046.25208333333</v>
      </c>
      <c r="E445" s="2">
        <v>299.0</v>
      </c>
      <c r="F445" s="2" t="s">
        <v>35</v>
      </c>
      <c r="G445" s="2" t="s">
        <v>36</v>
      </c>
      <c r="H445" s="2">
        <v>86.0</v>
      </c>
      <c r="I445" s="3" t="str">
        <f>IFERROR(VLOOKUP($C445,Merchants!$A$1:$D$41,2,FALSE),"Merchant not found")</f>
        <v>Merchant_025</v>
      </c>
      <c r="J445" s="3" t="str">
        <f>IFERROR(VLOOKUP($C445,Merchants!$A$1:$D$41,3,FALSE),"Merchant not found")</f>
        <v>grocery</v>
      </c>
      <c r="K445" s="3" t="str">
        <f>IFERROR(VLOOKUP($C445,Merchants!$A$1:$D$41,4,FALSE),"Merchant not found")</f>
        <v>East</v>
      </c>
      <c r="L445" s="3">
        <f>IFERROR(HLOOKUP(F445,Fee_Lookup!$B$1:$E$2,2,FALSE),"Fee not found")</f>
        <v>1</v>
      </c>
      <c r="M445" s="3" t="str">
        <f>IF(AND(SUMIF(Transactions!$C$2:$C$548,C445,Transactions!$E$2:$E$548)&gt;5000,K445&lt;&gt;"East"),"High-Value Merchant Day","Normal")</f>
        <v>Normal</v>
      </c>
    </row>
    <row r="446">
      <c r="A446" s="2" t="s">
        <v>529</v>
      </c>
      <c r="B446" s="2">
        <v>38.0</v>
      </c>
      <c r="C446" s="2">
        <v>13.0</v>
      </c>
      <c r="D446" s="5">
        <v>46042.79305555556</v>
      </c>
      <c r="E446" s="2">
        <v>4999.0</v>
      </c>
      <c r="F446" s="2" t="s">
        <v>79</v>
      </c>
      <c r="G446" s="2" t="s">
        <v>36</v>
      </c>
      <c r="H446" s="2">
        <v>97.0</v>
      </c>
      <c r="I446" s="3" t="str">
        <f>IFERROR(VLOOKUP($C446,Merchants!$A$1:$D$41,2,FALSE),"Merchant not found")</f>
        <v>Merchant_013</v>
      </c>
      <c r="J446" s="3" t="str">
        <f>IFERROR(VLOOKUP($C446,Merchants!$A$1:$D$41,3,FALSE),"Merchant not found")</f>
        <v>ecommerce</v>
      </c>
      <c r="K446" s="3" t="str">
        <f>IFERROR(VLOOKUP($C446,Merchants!$A$1:$D$41,4,FALSE),"Merchant not found")</f>
        <v>North</v>
      </c>
      <c r="L446" s="3">
        <f>IFERROR(HLOOKUP(F446,Fee_Lookup!$B$1:$E$2,2,FALSE),"Fee not found")</f>
        <v>1.5</v>
      </c>
      <c r="M446" s="3" t="str">
        <f>IF(AND(SUMIF(Transactions!$C$2:$C$548,C446,Transactions!$E$2:$E$548)&gt;5000,K446&lt;&gt;"East"),"High-Value Merchant Day","Normal")</f>
        <v>High-Value Merchant Day</v>
      </c>
    </row>
    <row r="447">
      <c r="A447" s="2" t="s">
        <v>530</v>
      </c>
      <c r="B447" s="2">
        <v>287.0</v>
      </c>
      <c r="C447" s="2">
        <v>14.0</v>
      </c>
      <c r="D447" s="5">
        <v>46041.9875</v>
      </c>
      <c r="E447" s="2">
        <v>99.0</v>
      </c>
      <c r="F447" s="2" t="s">
        <v>35</v>
      </c>
      <c r="G447" s="2" t="s">
        <v>36</v>
      </c>
      <c r="H447" s="2">
        <v>61.0</v>
      </c>
      <c r="I447" s="3" t="str">
        <f>IFERROR(VLOOKUP($C447,Merchants!$A$1:$D$41,2,FALSE),"Merchant not found")</f>
        <v>Merchant_014</v>
      </c>
      <c r="J447" s="3" t="str">
        <f>IFERROR(VLOOKUP($C447,Merchants!$A$1:$D$41,3,FALSE),"Merchant not found")</f>
        <v>grocery</v>
      </c>
      <c r="K447" s="3" t="str">
        <f>IFERROR(VLOOKUP($C447,Merchants!$A$1:$D$41,4,FALSE),"Merchant not found")</f>
        <v>South</v>
      </c>
      <c r="L447" s="3">
        <f>IFERROR(HLOOKUP(F447,Fee_Lookup!$B$1:$E$2,2,FALSE),"Fee not found")</f>
        <v>1</v>
      </c>
      <c r="M447" s="3" t="str">
        <f>IF(AND(SUMIF(Transactions!$C$2:$C$548,C447,Transactions!$E$2:$E$548)&gt;5000,K447&lt;&gt;"East"),"High-Value Merchant Day","Normal")</f>
        <v>High-Value Merchant Day</v>
      </c>
    </row>
    <row r="448">
      <c r="A448" s="2" t="s">
        <v>531</v>
      </c>
      <c r="B448" s="2">
        <v>8.0</v>
      </c>
      <c r="C448" s="2">
        <v>14.0</v>
      </c>
      <c r="D448" s="5">
        <v>46029.42986111111</v>
      </c>
      <c r="E448" s="2">
        <v>49.0</v>
      </c>
      <c r="F448" s="2" t="s">
        <v>6</v>
      </c>
      <c r="G448" s="2" t="s">
        <v>36</v>
      </c>
      <c r="H448" s="2">
        <v>24.0</v>
      </c>
      <c r="I448" s="3" t="str">
        <f>IFERROR(VLOOKUP($C448,Merchants!$A$1:$D$41,2,FALSE),"Merchant not found")</f>
        <v>Merchant_014</v>
      </c>
      <c r="J448" s="3" t="str">
        <f>IFERROR(VLOOKUP($C448,Merchants!$A$1:$D$41,3,FALSE),"Merchant not found")</f>
        <v>grocery</v>
      </c>
      <c r="K448" s="3" t="str">
        <f>IFERROR(VLOOKUP($C448,Merchants!$A$1:$D$41,4,FALSE),"Merchant not found")</f>
        <v>South</v>
      </c>
      <c r="L448" s="3">
        <f>IFERROR(HLOOKUP(F448,Fee_Lookup!$B$1:$E$2,2,FALSE),"Fee not found")</f>
        <v>0.5</v>
      </c>
      <c r="M448" s="3" t="str">
        <f>IF(AND(SUMIF(Transactions!$C$2:$C$548,C448,Transactions!$E$2:$E$548)&gt;5000,K448&lt;&gt;"East"),"High-Value Merchant Day","Normal")</f>
        <v>High-Value Merchant Day</v>
      </c>
    </row>
    <row r="449">
      <c r="A449" s="2" t="s">
        <v>532</v>
      </c>
      <c r="B449" s="2">
        <v>246.0</v>
      </c>
      <c r="C449" s="2">
        <v>16.0</v>
      </c>
      <c r="D449" s="5">
        <v>46046.157638888886</v>
      </c>
      <c r="E449" s="2">
        <v>1499.0</v>
      </c>
      <c r="F449" s="2" t="s">
        <v>35</v>
      </c>
      <c r="G449" s="2" t="s">
        <v>36</v>
      </c>
      <c r="H449" s="2">
        <v>89.0</v>
      </c>
      <c r="I449" s="3" t="str">
        <f>IFERROR(VLOOKUP($C449,Merchants!$A$1:$D$41,2,FALSE),"Merchant not found")</f>
        <v>Merchant_016</v>
      </c>
      <c r="J449" s="3" t="str">
        <f>IFERROR(VLOOKUP($C449,Merchants!$A$1:$D$41,3,FALSE),"Merchant not found")</f>
        <v>entertainment</v>
      </c>
      <c r="K449" s="3" t="str">
        <f>IFERROR(VLOOKUP($C449,Merchants!$A$1:$D$41,4,FALSE),"Merchant not found")</f>
        <v>North</v>
      </c>
      <c r="L449" s="3">
        <f>IFERROR(HLOOKUP(F449,Fee_Lookup!$B$1:$E$2,2,FALSE),"Fee not found")</f>
        <v>1</v>
      </c>
      <c r="M449" s="3" t="str">
        <f>IF(AND(SUMIF(Transactions!$C$2:$C$548,C449,Transactions!$E$2:$E$548)&gt;5000,K449&lt;&gt;"East"),"High-Value Merchant Day","Normal")</f>
        <v>High-Value Merchant Day</v>
      </c>
    </row>
    <row r="450">
      <c r="A450" s="2" t="s">
        <v>533</v>
      </c>
      <c r="B450" s="2">
        <v>204.0</v>
      </c>
      <c r="C450" s="2">
        <v>16.0</v>
      </c>
      <c r="D450" s="5">
        <v>46042.92569444444</v>
      </c>
      <c r="E450" s="2">
        <v>149.0</v>
      </c>
      <c r="F450" s="2" t="s">
        <v>6</v>
      </c>
      <c r="G450" s="2" t="s">
        <v>36</v>
      </c>
      <c r="H450" s="2">
        <v>70.0</v>
      </c>
      <c r="I450" s="3" t="str">
        <f>IFERROR(VLOOKUP($C450,Merchants!$A$1:$D$41,2,FALSE),"Merchant not found")</f>
        <v>Merchant_016</v>
      </c>
      <c r="J450" s="3" t="str">
        <f>IFERROR(VLOOKUP($C450,Merchants!$A$1:$D$41,3,FALSE),"Merchant not found")</f>
        <v>entertainment</v>
      </c>
      <c r="K450" s="3" t="str">
        <f>IFERROR(VLOOKUP($C450,Merchants!$A$1:$D$41,4,FALSE),"Merchant not found")</f>
        <v>North</v>
      </c>
      <c r="L450" s="3">
        <f>IFERROR(HLOOKUP(F450,Fee_Lookup!$B$1:$E$2,2,FALSE),"Fee not found")</f>
        <v>0.5</v>
      </c>
      <c r="M450" s="3" t="str">
        <f>IF(AND(SUMIF(Transactions!$C$2:$C$548,C450,Transactions!$E$2:$E$548)&gt;5000,K450&lt;&gt;"East"),"High-Value Merchant Day","Normal")</f>
        <v>High-Value Merchant Day</v>
      </c>
    </row>
    <row r="451">
      <c r="A451" s="2" t="s">
        <v>534</v>
      </c>
      <c r="B451" s="2">
        <v>239.0</v>
      </c>
      <c r="C451" s="2">
        <v>35.0</v>
      </c>
      <c r="D451" s="5">
        <v>46033.39166666667</v>
      </c>
      <c r="E451" s="2">
        <v>4999.0</v>
      </c>
      <c r="F451" s="2" t="s">
        <v>6</v>
      </c>
      <c r="G451" s="2" t="s">
        <v>36</v>
      </c>
      <c r="H451" s="2">
        <v>83.0</v>
      </c>
      <c r="I451" s="3" t="str">
        <f>IFERROR(VLOOKUP($C451,Merchants!$A$1:$D$41,2,FALSE),"Merchant not found")</f>
        <v>Merchant_035</v>
      </c>
      <c r="J451" s="3" t="str">
        <f>IFERROR(VLOOKUP($C451,Merchants!$A$1:$D$41,3,FALSE),"Merchant not found")</f>
        <v>food_delivery</v>
      </c>
      <c r="K451" s="3" t="str">
        <f>IFERROR(VLOOKUP($C451,Merchants!$A$1:$D$41,4,FALSE),"Merchant not found")</f>
        <v>South</v>
      </c>
      <c r="L451" s="3">
        <f>IFERROR(HLOOKUP(F451,Fee_Lookup!$B$1:$E$2,2,FALSE),"Fee not found")</f>
        <v>0.5</v>
      </c>
      <c r="M451" s="3" t="str">
        <f>IF(AND(SUMIF(Transactions!$C$2:$C$548,C451,Transactions!$E$2:$E$548)&gt;5000,K451&lt;&gt;"East"),"High-Value Merchant Day","Normal")</f>
        <v>High-Value Merchant Day</v>
      </c>
    </row>
    <row r="452">
      <c r="A452" s="2" t="s">
        <v>535</v>
      </c>
      <c r="B452" s="2">
        <v>185.0</v>
      </c>
      <c r="C452" s="2">
        <v>33.0</v>
      </c>
      <c r="D452" s="5">
        <v>46034.38611111111</v>
      </c>
      <c r="E452" s="2">
        <v>299.0</v>
      </c>
      <c r="F452" s="2" t="s">
        <v>6</v>
      </c>
      <c r="G452" s="2" t="s">
        <v>36</v>
      </c>
      <c r="H452" s="2">
        <v>63.0</v>
      </c>
      <c r="I452" s="3" t="str">
        <f>IFERROR(VLOOKUP($C452,Merchants!$A$1:$D$41,2,FALSE),"Merchant not found")</f>
        <v>Merchant_033</v>
      </c>
      <c r="J452" s="3" t="str">
        <f>IFERROR(VLOOKUP($C452,Merchants!$A$1:$D$41,3,FALSE),"Merchant not found")</f>
        <v>entertainment</v>
      </c>
      <c r="K452" s="3" t="str">
        <f>IFERROR(VLOOKUP($C452,Merchants!$A$1:$D$41,4,FALSE),"Merchant not found")</f>
        <v>East</v>
      </c>
      <c r="L452" s="3">
        <f>IFERROR(HLOOKUP(F452,Fee_Lookup!$B$1:$E$2,2,FALSE),"Fee not found")</f>
        <v>0.5</v>
      </c>
      <c r="M452" s="3" t="str">
        <f>IF(AND(SUMIF(Transactions!$C$2:$C$548,C452,Transactions!$E$2:$E$548)&gt;5000,K452&lt;&gt;"East"),"High-Value Merchant Day","Normal")</f>
        <v>Normal</v>
      </c>
    </row>
    <row r="453">
      <c r="A453" s="2" t="s">
        <v>536</v>
      </c>
      <c r="B453" s="2">
        <v>241.0</v>
      </c>
      <c r="C453" s="2">
        <v>21.0</v>
      </c>
      <c r="D453" s="5">
        <v>46037.160416666666</v>
      </c>
      <c r="E453" s="2">
        <v>299.0</v>
      </c>
      <c r="F453" s="2" t="s">
        <v>96</v>
      </c>
      <c r="G453" s="2" t="s">
        <v>36</v>
      </c>
      <c r="H453" s="2">
        <v>26.0</v>
      </c>
      <c r="I453" s="3" t="str">
        <f>IFERROR(VLOOKUP($C453,Merchants!$A$1:$D$41,2,FALSE),"Merchant not found")</f>
        <v>Merchant_021</v>
      </c>
      <c r="J453" s="3" t="str">
        <f>IFERROR(VLOOKUP($C453,Merchants!$A$1:$D$41,3,FALSE),"Merchant not found")</f>
        <v>food_delivery</v>
      </c>
      <c r="K453" s="3" t="str">
        <f>IFERROR(VLOOKUP($C453,Merchants!$A$1:$D$41,4,FALSE),"Merchant not found")</f>
        <v>North</v>
      </c>
      <c r="L453" s="3">
        <f>IFERROR(HLOOKUP(F453,Fee_Lookup!$B$1:$E$2,2,FALSE),"Fee not found")</f>
        <v>1.8</v>
      </c>
      <c r="M453" s="3" t="str">
        <f>IF(AND(SUMIF(Transactions!$C$2:$C$548,C453,Transactions!$E$2:$E$548)&gt;5000,K453&lt;&gt;"East"),"High-Value Merchant Day","Normal")</f>
        <v>High-Value Merchant Day</v>
      </c>
    </row>
    <row r="454">
      <c r="A454" s="2" t="s">
        <v>537</v>
      </c>
      <c r="B454" s="2">
        <v>24.0</v>
      </c>
      <c r="C454" s="2">
        <v>37.0</v>
      </c>
      <c r="D454" s="5">
        <v>46034.43472222222</v>
      </c>
      <c r="E454" s="2">
        <v>149.0</v>
      </c>
      <c r="F454" s="2" t="s">
        <v>6</v>
      </c>
      <c r="G454" s="2" t="s">
        <v>36</v>
      </c>
      <c r="H454" s="2">
        <v>28.0</v>
      </c>
      <c r="I454" s="3" t="str">
        <f>IFERROR(VLOOKUP($C454,Merchants!$A$1:$D$41,2,FALSE),"Merchant not found")</f>
        <v>Merchant_037</v>
      </c>
      <c r="J454" s="3" t="str">
        <f>IFERROR(VLOOKUP($C454,Merchants!$A$1:$D$41,3,FALSE),"Merchant not found")</f>
        <v>travel</v>
      </c>
      <c r="K454" s="3" t="str">
        <f>IFERROR(VLOOKUP($C454,Merchants!$A$1:$D$41,4,FALSE),"Merchant not found")</f>
        <v>North</v>
      </c>
      <c r="L454" s="3">
        <f>IFERROR(HLOOKUP(F454,Fee_Lookup!$B$1:$E$2,2,FALSE),"Fee not found")</f>
        <v>0.5</v>
      </c>
      <c r="M454" s="3" t="str">
        <f>IF(AND(SUMIF(Transactions!$C$2:$C$548,C454,Transactions!$E$2:$E$548)&gt;5000,K454&lt;&gt;"East"),"High-Value Merchant Day","Normal")</f>
        <v>High-Value Merchant Day</v>
      </c>
    </row>
    <row r="455">
      <c r="A455" s="2" t="s">
        <v>538</v>
      </c>
      <c r="B455" s="2">
        <v>134.0</v>
      </c>
      <c r="C455" s="2">
        <v>36.0</v>
      </c>
      <c r="D455" s="5">
        <v>46046.16736111111</v>
      </c>
      <c r="E455" s="2">
        <v>1499.0</v>
      </c>
      <c r="F455" s="2" t="s">
        <v>6</v>
      </c>
      <c r="G455" s="2" t="s">
        <v>36</v>
      </c>
      <c r="H455" s="2">
        <v>74.0</v>
      </c>
      <c r="I455" s="3" t="str">
        <f>IFERROR(VLOOKUP($C455,Merchants!$A$1:$D$41,2,FALSE),"Merchant not found")</f>
        <v>Merchant_036</v>
      </c>
      <c r="J455" s="3" t="str">
        <f>IFERROR(VLOOKUP($C455,Merchants!$A$1:$D$41,3,FALSE),"Merchant not found")</f>
        <v>ecommerce</v>
      </c>
      <c r="K455" s="3" t="str">
        <f>IFERROR(VLOOKUP($C455,Merchants!$A$1:$D$41,4,FALSE),"Merchant not found")</f>
        <v>East</v>
      </c>
      <c r="L455" s="3">
        <f>IFERROR(HLOOKUP(F455,Fee_Lookup!$B$1:$E$2,2,FALSE),"Fee not found")</f>
        <v>0.5</v>
      </c>
      <c r="M455" s="3" t="str">
        <f>IF(AND(SUMIF(Transactions!$C$2:$C$548,C455,Transactions!$E$2:$E$548)&gt;5000,K455&lt;&gt;"East"),"High-Value Merchant Day","Normal")</f>
        <v>Normal</v>
      </c>
    </row>
    <row r="456">
      <c r="A456" s="2" t="s">
        <v>539</v>
      </c>
      <c r="B456" s="2">
        <v>152.0</v>
      </c>
      <c r="C456" s="2">
        <v>10.0</v>
      </c>
      <c r="D456" s="5">
        <v>46041.97638888889</v>
      </c>
      <c r="E456" s="2">
        <v>499.0</v>
      </c>
      <c r="F456" s="2" t="s">
        <v>35</v>
      </c>
      <c r="G456" s="2" t="s">
        <v>36</v>
      </c>
      <c r="H456" s="2">
        <v>25.0</v>
      </c>
      <c r="I456" s="3" t="str">
        <f>IFERROR(VLOOKUP($C456,Merchants!$A$1:$D$41,2,FALSE),"Merchant not found")</f>
        <v>Merchant_010</v>
      </c>
      <c r="J456" s="3" t="str">
        <f>IFERROR(VLOOKUP($C456,Merchants!$A$1:$D$41,3,FALSE),"Merchant not found")</f>
        <v>grocery</v>
      </c>
      <c r="K456" s="3" t="str">
        <f>IFERROR(VLOOKUP($C456,Merchants!$A$1:$D$41,4,FALSE),"Merchant not found")</f>
        <v>East</v>
      </c>
      <c r="L456" s="3">
        <f>IFERROR(HLOOKUP(F456,Fee_Lookup!$B$1:$E$2,2,FALSE),"Fee not found")</f>
        <v>1</v>
      </c>
      <c r="M456" s="3" t="str">
        <f>IF(AND(SUMIF(Transactions!$C$2:$C$548,C456,Transactions!$E$2:$E$548)&gt;5000,K456&lt;&gt;"East"),"High-Value Merchant Day","Normal")</f>
        <v>Normal</v>
      </c>
    </row>
    <row r="457">
      <c r="A457" s="2" t="s">
        <v>540</v>
      </c>
      <c r="B457" s="2">
        <v>292.0</v>
      </c>
      <c r="C457" s="2">
        <v>16.0</v>
      </c>
      <c r="D457" s="5">
        <v>46033.308333333334</v>
      </c>
      <c r="E457" s="2">
        <v>499.0</v>
      </c>
      <c r="F457" s="2" t="s">
        <v>79</v>
      </c>
      <c r="G457" s="2" t="s">
        <v>36</v>
      </c>
      <c r="H457" s="2">
        <v>63.0</v>
      </c>
      <c r="I457" s="3" t="str">
        <f>IFERROR(VLOOKUP($C457,Merchants!$A$1:$D$41,2,FALSE),"Merchant not found")</f>
        <v>Merchant_016</v>
      </c>
      <c r="J457" s="3" t="str">
        <f>IFERROR(VLOOKUP($C457,Merchants!$A$1:$D$41,3,FALSE),"Merchant not found")</f>
        <v>entertainment</v>
      </c>
      <c r="K457" s="3" t="str">
        <f>IFERROR(VLOOKUP($C457,Merchants!$A$1:$D$41,4,FALSE),"Merchant not found")</f>
        <v>North</v>
      </c>
      <c r="L457" s="3">
        <f>IFERROR(HLOOKUP(F457,Fee_Lookup!$B$1:$E$2,2,FALSE),"Fee not found")</f>
        <v>1.5</v>
      </c>
      <c r="M457" s="3" t="str">
        <f>IF(AND(SUMIF(Transactions!$C$2:$C$548,C457,Transactions!$E$2:$E$548)&gt;5000,K457&lt;&gt;"East"),"High-Value Merchant Day","Normal")</f>
        <v>High-Value Merchant Day</v>
      </c>
    </row>
    <row r="458">
      <c r="A458" s="2" t="s">
        <v>541</v>
      </c>
      <c r="B458" s="2">
        <v>173.0</v>
      </c>
      <c r="C458" s="2">
        <v>17.0</v>
      </c>
      <c r="D458" s="5">
        <v>46040.86319444444</v>
      </c>
      <c r="E458" s="2">
        <v>99.0</v>
      </c>
      <c r="F458" s="2" t="s">
        <v>79</v>
      </c>
      <c r="G458" s="2" t="s">
        <v>36</v>
      </c>
      <c r="H458" s="2">
        <v>97.0</v>
      </c>
      <c r="I458" s="3" t="str">
        <f>IFERROR(VLOOKUP($C458,Merchants!$A$1:$D$41,2,FALSE),"Merchant not found")</f>
        <v>Merchant_017</v>
      </c>
      <c r="J458" s="3" t="str">
        <f>IFERROR(VLOOKUP($C458,Merchants!$A$1:$D$41,3,FALSE),"Merchant not found")</f>
        <v>bill_payment</v>
      </c>
      <c r="K458" s="3" t="str">
        <f>IFERROR(VLOOKUP($C458,Merchants!$A$1:$D$41,4,FALSE),"Merchant not found")</f>
        <v>East</v>
      </c>
      <c r="L458" s="3">
        <f>IFERROR(HLOOKUP(F458,Fee_Lookup!$B$1:$E$2,2,FALSE),"Fee not found")</f>
        <v>1.5</v>
      </c>
      <c r="M458" s="3" t="str">
        <f>IF(AND(SUMIF(Transactions!$C$2:$C$548,C458,Transactions!$E$2:$E$548)&gt;5000,K458&lt;&gt;"East"),"High-Value Merchant Day","Normal")</f>
        <v>Normal</v>
      </c>
    </row>
    <row r="459">
      <c r="A459" s="2" t="s">
        <v>542</v>
      </c>
      <c r="B459" s="2">
        <v>329.0</v>
      </c>
      <c r="C459" s="2">
        <v>32.0</v>
      </c>
      <c r="D459" s="5">
        <v>46049.65694444445</v>
      </c>
      <c r="E459" s="2">
        <v>1499.0</v>
      </c>
      <c r="F459" s="2" t="s">
        <v>6</v>
      </c>
      <c r="G459" s="2" t="s">
        <v>36</v>
      </c>
      <c r="H459" s="2">
        <v>58.0</v>
      </c>
      <c r="I459" s="3" t="str">
        <f>IFERROR(VLOOKUP($C459,Merchants!$A$1:$D$41,2,FALSE),"Merchant not found")</f>
        <v>Merchant_032</v>
      </c>
      <c r="J459" s="3" t="str">
        <f>IFERROR(VLOOKUP($C459,Merchants!$A$1:$D$41,3,FALSE),"Merchant not found")</f>
        <v>grocery</v>
      </c>
      <c r="K459" s="3" t="str">
        <f>IFERROR(VLOOKUP($C459,Merchants!$A$1:$D$41,4,FALSE),"Merchant not found")</f>
        <v>North</v>
      </c>
      <c r="L459" s="3">
        <f>IFERROR(HLOOKUP(F459,Fee_Lookup!$B$1:$E$2,2,FALSE),"Fee not found")</f>
        <v>0.5</v>
      </c>
      <c r="M459" s="3" t="str">
        <f>IF(AND(SUMIF(Transactions!$C$2:$C$548,C459,Transactions!$E$2:$E$548)&gt;5000,K459&lt;&gt;"East"),"High-Value Merchant Day","Normal")</f>
        <v>High-Value Merchant Day</v>
      </c>
    </row>
    <row r="460">
      <c r="A460" s="2" t="s">
        <v>543</v>
      </c>
      <c r="B460" s="2">
        <v>181.0</v>
      </c>
      <c r="C460" s="2">
        <v>11.0</v>
      </c>
      <c r="D460" s="5">
        <v>46028.993055555555</v>
      </c>
      <c r="E460" s="2">
        <v>1499.0</v>
      </c>
      <c r="F460" s="2" t="s">
        <v>6</v>
      </c>
      <c r="G460" s="2" t="s">
        <v>36</v>
      </c>
      <c r="H460" s="2">
        <v>17.0</v>
      </c>
      <c r="I460" s="3" t="str">
        <f>IFERROR(VLOOKUP($C460,Merchants!$A$1:$D$41,2,FALSE),"Merchant not found")</f>
        <v>Merchant_011</v>
      </c>
      <c r="J460" s="3" t="str">
        <f>IFERROR(VLOOKUP($C460,Merchants!$A$1:$D$41,3,FALSE),"Merchant not found")</f>
        <v>recharge</v>
      </c>
      <c r="K460" s="3" t="str">
        <f>IFERROR(VLOOKUP($C460,Merchants!$A$1:$D$41,4,FALSE),"Merchant not found")</f>
        <v>West</v>
      </c>
      <c r="L460" s="3">
        <f>IFERROR(HLOOKUP(F460,Fee_Lookup!$B$1:$E$2,2,FALSE),"Fee not found")</f>
        <v>0.5</v>
      </c>
      <c r="M460" s="3" t="str">
        <f>IF(AND(SUMIF(Transactions!$C$2:$C$548,C460,Transactions!$E$2:$E$548)&gt;5000,K460&lt;&gt;"East"),"High-Value Merchant Day","Normal")</f>
        <v>High-Value Merchant Day</v>
      </c>
    </row>
    <row r="461">
      <c r="A461" s="2" t="s">
        <v>544</v>
      </c>
      <c r="B461" s="2">
        <v>95.0</v>
      </c>
      <c r="C461" s="2">
        <v>35.0</v>
      </c>
      <c r="D461" s="5">
        <v>46046.72986111111</v>
      </c>
      <c r="E461" s="2">
        <v>149.0</v>
      </c>
      <c r="F461" s="2" t="s">
        <v>35</v>
      </c>
      <c r="G461" s="2" t="s">
        <v>36</v>
      </c>
      <c r="H461" s="2">
        <v>82.0</v>
      </c>
      <c r="I461" s="3" t="str">
        <f>IFERROR(VLOOKUP($C461,Merchants!$A$1:$D$41,2,FALSE),"Merchant not found")</f>
        <v>Merchant_035</v>
      </c>
      <c r="J461" s="3" t="str">
        <f>IFERROR(VLOOKUP($C461,Merchants!$A$1:$D$41,3,FALSE),"Merchant not found")</f>
        <v>food_delivery</v>
      </c>
      <c r="K461" s="3" t="str">
        <f>IFERROR(VLOOKUP($C461,Merchants!$A$1:$D$41,4,FALSE),"Merchant not found")</f>
        <v>South</v>
      </c>
      <c r="L461" s="3">
        <f>IFERROR(HLOOKUP(F461,Fee_Lookup!$B$1:$E$2,2,FALSE),"Fee not found")</f>
        <v>1</v>
      </c>
      <c r="M461" s="3" t="str">
        <f>IF(AND(SUMIF(Transactions!$C$2:$C$548,C461,Transactions!$E$2:$E$548)&gt;5000,K461&lt;&gt;"East"),"High-Value Merchant Day","Normal")</f>
        <v>High-Value Merchant Day</v>
      </c>
    </row>
    <row r="462">
      <c r="A462" s="2" t="s">
        <v>545</v>
      </c>
      <c r="B462" s="2">
        <v>39.0</v>
      </c>
      <c r="C462" s="2">
        <v>4.0</v>
      </c>
      <c r="D462" s="5">
        <v>46024.66805555556</v>
      </c>
      <c r="E462" s="2">
        <v>149.0</v>
      </c>
      <c r="F462" s="2" t="s">
        <v>79</v>
      </c>
      <c r="G462" s="2" t="s">
        <v>36</v>
      </c>
      <c r="H462" s="2">
        <v>97.0</v>
      </c>
      <c r="I462" s="3" t="str">
        <f>IFERROR(VLOOKUP($C462,Merchants!$A$1:$D$41,2,FALSE),"Merchant not found")</f>
        <v>Merchant_004</v>
      </c>
      <c r="J462" s="3" t="str">
        <f>IFERROR(VLOOKUP($C462,Merchants!$A$1:$D$41,3,FALSE),"Merchant not found")</f>
        <v>grocery</v>
      </c>
      <c r="K462" s="3" t="str">
        <f>IFERROR(VLOOKUP($C462,Merchants!$A$1:$D$41,4,FALSE),"Merchant not found")</f>
        <v>West</v>
      </c>
      <c r="L462" s="3">
        <f>IFERROR(HLOOKUP(F462,Fee_Lookup!$B$1:$E$2,2,FALSE),"Fee not found")</f>
        <v>1.5</v>
      </c>
      <c r="M462" s="3" t="str">
        <f>IF(AND(SUMIF(Transactions!$C$2:$C$548,C462,Transactions!$E$2:$E$548)&gt;5000,K462&lt;&gt;"East"),"High-Value Merchant Day","Normal")</f>
        <v>High-Value Merchant Day</v>
      </c>
    </row>
    <row r="463">
      <c r="A463" s="2" t="s">
        <v>546</v>
      </c>
      <c r="B463" s="2">
        <v>323.0</v>
      </c>
      <c r="C463" s="2">
        <v>15.0</v>
      </c>
      <c r="D463" s="5">
        <v>46023.54722222222</v>
      </c>
      <c r="E463" s="2">
        <v>499.0</v>
      </c>
      <c r="F463" s="2" t="s">
        <v>6</v>
      </c>
      <c r="G463" s="2" t="s">
        <v>36</v>
      </c>
      <c r="H463" s="2">
        <v>8.0</v>
      </c>
      <c r="I463" s="3" t="str">
        <f>IFERROR(VLOOKUP($C463,Merchants!$A$1:$D$41,2,FALSE),"Merchant not found")</f>
        <v>Merchant_015</v>
      </c>
      <c r="J463" s="3" t="str">
        <f>IFERROR(VLOOKUP($C463,Merchants!$A$1:$D$41,3,FALSE),"Merchant not found")</f>
        <v>travel</v>
      </c>
      <c r="K463" s="3" t="str">
        <f>IFERROR(VLOOKUP($C463,Merchants!$A$1:$D$41,4,FALSE),"Merchant not found")</f>
        <v>West</v>
      </c>
      <c r="L463" s="3">
        <f>IFERROR(HLOOKUP(F463,Fee_Lookup!$B$1:$E$2,2,FALSE),"Fee not found")</f>
        <v>0.5</v>
      </c>
      <c r="M463" s="3" t="str">
        <f>IF(AND(SUMIF(Transactions!$C$2:$C$548,C463,Transactions!$E$2:$E$548)&gt;5000,K463&lt;&gt;"East"),"High-Value Merchant Day","Normal")</f>
        <v>High-Value Merchant Day</v>
      </c>
    </row>
    <row r="464">
      <c r="A464" s="2" t="s">
        <v>547</v>
      </c>
      <c r="B464" s="2">
        <v>112.0</v>
      </c>
      <c r="C464" s="2">
        <v>33.0</v>
      </c>
      <c r="D464" s="5">
        <v>46045.166666666664</v>
      </c>
      <c r="E464" s="2">
        <v>49.0</v>
      </c>
      <c r="F464" s="2" t="s">
        <v>79</v>
      </c>
      <c r="G464" s="2" t="s">
        <v>36</v>
      </c>
      <c r="H464" s="2">
        <v>58.0</v>
      </c>
      <c r="I464" s="3" t="str">
        <f>IFERROR(VLOOKUP($C464,Merchants!$A$1:$D$41,2,FALSE),"Merchant not found")</f>
        <v>Merchant_033</v>
      </c>
      <c r="J464" s="3" t="str">
        <f>IFERROR(VLOOKUP($C464,Merchants!$A$1:$D$41,3,FALSE),"Merchant not found")</f>
        <v>entertainment</v>
      </c>
      <c r="K464" s="3" t="str">
        <f>IFERROR(VLOOKUP($C464,Merchants!$A$1:$D$41,4,FALSE),"Merchant not found")</f>
        <v>East</v>
      </c>
      <c r="L464" s="3">
        <f>IFERROR(HLOOKUP(F464,Fee_Lookup!$B$1:$E$2,2,FALSE),"Fee not found")</f>
        <v>1.5</v>
      </c>
      <c r="M464" s="3" t="str">
        <f>IF(AND(SUMIF(Transactions!$C$2:$C$548,C464,Transactions!$E$2:$E$548)&gt;5000,K464&lt;&gt;"East"),"High-Value Merchant Day","Normal")</f>
        <v>Normal</v>
      </c>
    </row>
    <row r="465">
      <c r="A465" s="2" t="s">
        <v>548</v>
      </c>
      <c r="B465" s="2">
        <v>327.0</v>
      </c>
      <c r="C465" s="2">
        <v>40.0</v>
      </c>
      <c r="D465" s="5">
        <v>46034.06875</v>
      </c>
      <c r="E465" s="2">
        <v>99.0</v>
      </c>
      <c r="F465" s="2" t="s">
        <v>6</v>
      </c>
      <c r="G465" s="2" t="s">
        <v>36</v>
      </c>
      <c r="H465" s="2">
        <v>61.0</v>
      </c>
      <c r="I465" s="3" t="str">
        <f>IFERROR(VLOOKUP($C465,Merchants!$A$1:$D$41,2,FALSE),"Merchant not found")</f>
        <v>Merchant_040</v>
      </c>
      <c r="J465" s="3" t="str">
        <f>IFERROR(VLOOKUP($C465,Merchants!$A$1:$D$41,3,FALSE),"Merchant not found")</f>
        <v>ecommerce</v>
      </c>
      <c r="K465" s="3" t="str">
        <f>IFERROR(VLOOKUP($C465,Merchants!$A$1:$D$41,4,FALSE),"Merchant not found")</f>
        <v>North</v>
      </c>
      <c r="L465" s="3">
        <f>IFERROR(HLOOKUP(F465,Fee_Lookup!$B$1:$E$2,2,FALSE),"Fee not found")</f>
        <v>0.5</v>
      </c>
      <c r="M465" s="3" t="str">
        <f>IF(AND(SUMIF(Transactions!$C$2:$C$548,C465,Transactions!$E$2:$E$548)&gt;5000,K465&lt;&gt;"East"),"High-Value Merchant Day","Normal")</f>
        <v>High-Value Merchant Day</v>
      </c>
    </row>
    <row r="466">
      <c r="A466" s="2" t="s">
        <v>549</v>
      </c>
      <c r="B466" s="2">
        <v>4.0</v>
      </c>
      <c r="C466" s="2">
        <v>35.0</v>
      </c>
      <c r="D466" s="5">
        <v>46044.62569444445</v>
      </c>
      <c r="E466" s="2">
        <v>299.0</v>
      </c>
      <c r="F466" s="2" t="s">
        <v>6</v>
      </c>
      <c r="G466" s="2" t="s">
        <v>36</v>
      </c>
      <c r="H466" s="2">
        <v>70.0</v>
      </c>
      <c r="I466" s="3" t="str">
        <f>IFERROR(VLOOKUP($C466,Merchants!$A$1:$D$41,2,FALSE),"Merchant not found")</f>
        <v>Merchant_035</v>
      </c>
      <c r="J466" s="3" t="str">
        <f>IFERROR(VLOOKUP($C466,Merchants!$A$1:$D$41,3,FALSE),"Merchant not found")</f>
        <v>food_delivery</v>
      </c>
      <c r="K466" s="3" t="str">
        <f>IFERROR(VLOOKUP($C466,Merchants!$A$1:$D$41,4,FALSE),"Merchant not found")</f>
        <v>South</v>
      </c>
      <c r="L466" s="3">
        <f>IFERROR(HLOOKUP(F466,Fee_Lookup!$B$1:$E$2,2,FALSE),"Fee not found")</f>
        <v>0.5</v>
      </c>
      <c r="M466" s="3" t="str">
        <f>IF(AND(SUMIF(Transactions!$C$2:$C$548,C466,Transactions!$E$2:$E$548)&gt;5000,K466&lt;&gt;"East"),"High-Value Merchant Day","Normal")</f>
        <v>High-Value Merchant Day</v>
      </c>
    </row>
    <row r="467">
      <c r="A467" s="2" t="s">
        <v>550</v>
      </c>
      <c r="B467" s="2">
        <v>272.0</v>
      </c>
      <c r="C467" s="2">
        <v>18.0</v>
      </c>
      <c r="D467" s="5">
        <v>46036.00069444445</v>
      </c>
      <c r="E467" s="2">
        <v>149.0</v>
      </c>
      <c r="F467" s="2" t="s">
        <v>6</v>
      </c>
      <c r="G467" s="2" t="s">
        <v>36</v>
      </c>
      <c r="H467" s="2">
        <v>68.0</v>
      </c>
      <c r="I467" s="3" t="str">
        <f>IFERROR(VLOOKUP($C467,Merchants!$A$1:$D$41,2,FALSE),"Merchant not found")</f>
        <v>Merchant_018</v>
      </c>
      <c r="J467" s="3" t="str">
        <f>IFERROR(VLOOKUP($C467,Merchants!$A$1:$D$41,3,FALSE),"Merchant not found")</f>
        <v>grocery</v>
      </c>
      <c r="K467" s="3" t="str">
        <f>IFERROR(VLOOKUP($C467,Merchants!$A$1:$D$41,4,FALSE),"Merchant not found")</f>
        <v>South</v>
      </c>
      <c r="L467" s="3">
        <f>IFERROR(HLOOKUP(F467,Fee_Lookup!$B$1:$E$2,2,FALSE),"Fee not found")</f>
        <v>0.5</v>
      </c>
      <c r="M467" s="3" t="str">
        <f>IF(AND(SUMIF(Transactions!$C$2:$C$548,C467,Transactions!$E$2:$E$548)&gt;5000,K467&lt;&gt;"East"),"High-Value Merchant Day","Normal")</f>
        <v>High-Value Merchant Day</v>
      </c>
    </row>
    <row r="468">
      <c r="A468" s="2" t="s">
        <v>551</v>
      </c>
      <c r="B468" s="2">
        <v>346.0</v>
      </c>
      <c r="C468" s="2">
        <v>28.0</v>
      </c>
      <c r="D468" s="5">
        <v>46032.02222222222</v>
      </c>
      <c r="E468" s="2">
        <v>499.0</v>
      </c>
      <c r="F468" s="2" t="s">
        <v>6</v>
      </c>
      <c r="G468" s="2" t="s">
        <v>36</v>
      </c>
      <c r="H468" s="2">
        <v>22.0</v>
      </c>
      <c r="I468" s="3" t="str">
        <f>IFERROR(VLOOKUP($C468,Merchants!$A$1:$D$41,2,FALSE),"Merchant not found")</f>
        <v>Merchant_028</v>
      </c>
      <c r="J468" s="3" t="str">
        <f>IFERROR(VLOOKUP($C468,Merchants!$A$1:$D$41,3,FALSE),"Merchant not found")</f>
        <v>food_delivery</v>
      </c>
      <c r="K468" s="3" t="str">
        <f>IFERROR(VLOOKUP($C468,Merchants!$A$1:$D$41,4,FALSE),"Merchant not found")</f>
        <v>East</v>
      </c>
      <c r="L468" s="3">
        <f>IFERROR(HLOOKUP(F468,Fee_Lookup!$B$1:$E$2,2,FALSE),"Fee not found")</f>
        <v>0.5</v>
      </c>
      <c r="M468" s="3" t="str">
        <f>IF(AND(SUMIF(Transactions!$C$2:$C$548,C468,Transactions!$E$2:$E$548)&gt;5000,K468&lt;&gt;"East"),"High-Value Merchant Day","Normal")</f>
        <v>Normal</v>
      </c>
    </row>
    <row r="469">
      <c r="A469" s="2" t="s">
        <v>552</v>
      </c>
      <c r="B469" s="2">
        <v>77.0</v>
      </c>
      <c r="C469" s="2">
        <v>16.0</v>
      </c>
      <c r="D469" s="5">
        <v>46026.14791666667</v>
      </c>
      <c r="E469" s="2">
        <v>49.0</v>
      </c>
      <c r="F469" s="2" t="s">
        <v>35</v>
      </c>
      <c r="G469" s="2" t="s">
        <v>36</v>
      </c>
      <c r="H469" s="2">
        <v>24.0</v>
      </c>
      <c r="I469" s="3" t="str">
        <f>IFERROR(VLOOKUP($C469,Merchants!$A$1:$D$41,2,FALSE),"Merchant not found")</f>
        <v>Merchant_016</v>
      </c>
      <c r="J469" s="3" t="str">
        <f>IFERROR(VLOOKUP($C469,Merchants!$A$1:$D$41,3,FALSE),"Merchant not found")</f>
        <v>entertainment</v>
      </c>
      <c r="K469" s="3" t="str">
        <f>IFERROR(VLOOKUP($C469,Merchants!$A$1:$D$41,4,FALSE),"Merchant not found")</f>
        <v>North</v>
      </c>
      <c r="L469" s="3">
        <f>IFERROR(HLOOKUP(F469,Fee_Lookup!$B$1:$E$2,2,FALSE),"Fee not found")</f>
        <v>1</v>
      </c>
      <c r="M469" s="3" t="str">
        <f>IF(AND(SUMIF(Transactions!$C$2:$C$548,C469,Transactions!$E$2:$E$548)&gt;5000,K469&lt;&gt;"East"),"High-Value Merchant Day","Normal")</f>
        <v>High-Value Merchant Day</v>
      </c>
    </row>
    <row r="470">
      <c r="A470" s="2" t="s">
        <v>553</v>
      </c>
      <c r="B470" s="2">
        <v>182.0</v>
      </c>
      <c r="C470" s="2">
        <v>18.0</v>
      </c>
      <c r="D470" s="5">
        <v>46042.677777777775</v>
      </c>
      <c r="E470" s="2">
        <v>149.0</v>
      </c>
      <c r="F470" s="2" t="s">
        <v>96</v>
      </c>
      <c r="G470" s="2" t="s">
        <v>36</v>
      </c>
      <c r="H470" s="2">
        <v>50.0</v>
      </c>
      <c r="I470" s="3" t="str">
        <f>IFERROR(VLOOKUP($C470,Merchants!$A$1:$D$41,2,FALSE),"Merchant not found")</f>
        <v>Merchant_018</v>
      </c>
      <c r="J470" s="3" t="str">
        <f>IFERROR(VLOOKUP($C470,Merchants!$A$1:$D$41,3,FALSE),"Merchant not found")</f>
        <v>grocery</v>
      </c>
      <c r="K470" s="3" t="str">
        <f>IFERROR(VLOOKUP($C470,Merchants!$A$1:$D$41,4,FALSE),"Merchant not found")</f>
        <v>South</v>
      </c>
      <c r="L470" s="3">
        <f>IFERROR(HLOOKUP(F470,Fee_Lookup!$B$1:$E$2,2,FALSE),"Fee not found")</f>
        <v>1.8</v>
      </c>
      <c r="M470" s="3" t="str">
        <f>IF(AND(SUMIF(Transactions!$C$2:$C$548,C470,Transactions!$E$2:$E$548)&gt;5000,K470&lt;&gt;"East"),"High-Value Merchant Day","Normal")</f>
        <v>High-Value Merchant Day</v>
      </c>
    </row>
    <row r="471">
      <c r="A471" s="2" t="s">
        <v>554</v>
      </c>
      <c r="B471" s="2">
        <v>236.0</v>
      </c>
      <c r="C471" s="2">
        <v>37.0</v>
      </c>
      <c r="D471" s="5">
        <v>46025.475694444445</v>
      </c>
      <c r="E471" s="2">
        <v>299.0</v>
      </c>
      <c r="F471" s="2" t="s">
        <v>96</v>
      </c>
      <c r="G471" s="2" t="s">
        <v>36</v>
      </c>
      <c r="H471" s="2">
        <v>31.0</v>
      </c>
      <c r="I471" s="3" t="str">
        <f>IFERROR(VLOOKUP($C471,Merchants!$A$1:$D$41,2,FALSE),"Merchant not found")</f>
        <v>Merchant_037</v>
      </c>
      <c r="J471" s="3" t="str">
        <f>IFERROR(VLOOKUP($C471,Merchants!$A$1:$D$41,3,FALSE),"Merchant not found")</f>
        <v>travel</v>
      </c>
      <c r="K471" s="3" t="str">
        <f>IFERROR(VLOOKUP($C471,Merchants!$A$1:$D$41,4,FALSE),"Merchant not found")</f>
        <v>North</v>
      </c>
      <c r="L471" s="3">
        <f>IFERROR(HLOOKUP(F471,Fee_Lookup!$B$1:$E$2,2,FALSE),"Fee not found")</f>
        <v>1.8</v>
      </c>
      <c r="M471" s="3" t="str">
        <f>IF(AND(SUMIF(Transactions!$C$2:$C$548,C471,Transactions!$E$2:$E$548)&gt;5000,K471&lt;&gt;"East"),"High-Value Merchant Day","Normal")</f>
        <v>High-Value Merchant Day</v>
      </c>
    </row>
    <row r="472">
      <c r="A472" s="2" t="s">
        <v>555</v>
      </c>
      <c r="B472" s="2">
        <v>42.0</v>
      </c>
      <c r="C472" s="2">
        <v>3.0</v>
      </c>
      <c r="D472" s="5">
        <v>46045.30486111111</v>
      </c>
      <c r="E472" s="2">
        <v>49.0</v>
      </c>
      <c r="F472" s="2" t="s">
        <v>6</v>
      </c>
      <c r="G472" s="2" t="s">
        <v>36</v>
      </c>
      <c r="H472" s="2">
        <v>11.0</v>
      </c>
      <c r="I472" s="3" t="str">
        <f>IFERROR(VLOOKUP($C472,Merchants!$A$1:$D$41,2,FALSE),"Merchant not found")</f>
        <v>Merchant_003</v>
      </c>
      <c r="J472" s="3" t="str">
        <f>IFERROR(VLOOKUP($C472,Merchants!$A$1:$D$41,3,FALSE),"Merchant not found")</f>
        <v>entertainment</v>
      </c>
      <c r="K472" s="3" t="str">
        <f>IFERROR(VLOOKUP($C472,Merchants!$A$1:$D$41,4,FALSE),"Merchant not found")</f>
        <v>East</v>
      </c>
      <c r="L472" s="3">
        <f>IFERROR(HLOOKUP(F472,Fee_Lookup!$B$1:$E$2,2,FALSE),"Fee not found")</f>
        <v>0.5</v>
      </c>
      <c r="M472" s="3" t="str">
        <f>IF(AND(SUMIF(Transactions!$C$2:$C$548,C472,Transactions!$E$2:$E$548)&gt;5000,K472&lt;&gt;"East"),"High-Value Merchant Day","Normal")</f>
        <v>Normal</v>
      </c>
    </row>
    <row r="473">
      <c r="A473" s="2" t="s">
        <v>556</v>
      </c>
      <c r="B473" s="2">
        <v>283.0</v>
      </c>
      <c r="C473" s="2">
        <v>31.0</v>
      </c>
      <c r="D473" s="5">
        <v>46035.51666666667</v>
      </c>
      <c r="E473" s="2">
        <v>299.0</v>
      </c>
      <c r="F473" s="2" t="s">
        <v>79</v>
      </c>
      <c r="G473" s="2" t="s">
        <v>36</v>
      </c>
      <c r="H473" s="2">
        <v>7.0</v>
      </c>
      <c r="I473" s="3" t="str">
        <f>IFERROR(VLOOKUP($C473,Merchants!$A$1:$D$41,2,FALSE),"Merchant not found")</f>
        <v>Merchant_031</v>
      </c>
      <c r="J473" s="3" t="str">
        <f>IFERROR(VLOOKUP($C473,Merchants!$A$1:$D$41,3,FALSE),"Merchant not found")</f>
        <v>bill_payment</v>
      </c>
      <c r="K473" s="3" t="str">
        <f>IFERROR(VLOOKUP($C473,Merchants!$A$1:$D$41,4,FALSE),"Merchant not found")</f>
        <v>South</v>
      </c>
      <c r="L473" s="3">
        <f>IFERROR(HLOOKUP(F473,Fee_Lookup!$B$1:$E$2,2,FALSE),"Fee not found")</f>
        <v>1.5</v>
      </c>
      <c r="M473" s="3" t="str">
        <f>IF(AND(SUMIF(Transactions!$C$2:$C$548,C473,Transactions!$E$2:$E$548)&gt;5000,K473&lt;&gt;"East"),"High-Value Merchant Day","Normal")</f>
        <v>Normal</v>
      </c>
    </row>
    <row r="474">
      <c r="A474" s="2" t="s">
        <v>557</v>
      </c>
      <c r="B474" s="2">
        <v>88.0</v>
      </c>
      <c r="C474" s="2">
        <v>6.0</v>
      </c>
      <c r="D474" s="5">
        <v>46043.03055555555</v>
      </c>
      <c r="E474" s="2">
        <v>49.0</v>
      </c>
      <c r="F474" s="2" t="s">
        <v>6</v>
      </c>
      <c r="G474" s="2" t="s">
        <v>36</v>
      </c>
      <c r="H474" s="2">
        <v>63.0</v>
      </c>
      <c r="I474" s="3" t="str">
        <f>IFERROR(VLOOKUP($C474,Merchants!$A$1:$D$41,2,FALSE),"Merchant not found")</f>
        <v>Merchant_006</v>
      </c>
      <c r="J474" s="3" t="str">
        <f>IFERROR(VLOOKUP($C474,Merchants!$A$1:$D$41,3,FALSE),"Merchant not found")</f>
        <v>entertainment</v>
      </c>
      <c r="K474" s="3" t="str">
        <f>IFERROR(VLOOKUP($C474,Merchants!$A$1:$D$41,4,FALSE),"Merchant not found")</f>
        <v>South</v>
      </c>
      <c r="L474" s="3">
        <f>IFERROR(HLOOKUP(F474,Fee_Lookup!$B$1:$E$2,2,FALSE),"Fee not found")</f>
        <v>0.5</v>
      </c>
      <c r="M474" s="3" t="str">
        <f>IF(AND(SUMIF(Transactions!$C$2:$C$548,C474,Transactions!$E$2:$E$548)&gt;5000,K474&lt;&gt;"East"),"High-Value Merchant Day","Normal")</f>
        <v>High-Value Merchant Day</v>
      </c>
    </row>
    <row r="475">
      <c r="A475" s="2" t="s">
        <v>558</v>
      </c>
      <c r="B475" s="2">
        <v>170.0</v>
      </c>
      <c r="C475" s="2">
        <v>37.0</v>
      </c>
      <c r="D475" s="5">
        <v>46050.57013888889</v>
      </c>
      <c r="E475" s="2">
        <v>99.0</v>
      </c>
      <c r="F475" s="2" t="s">
        <v>6</v>
      </c>
      <c r="G475" s="2" t="s">
        <v>64</v>
      </c>
      <c r="H475" s="2">
        <v>12.0</v>
      </c>
      <c r="I475" s="3" t="str">
        <f>IFERROR(VLOOKUP($C475,Merchants!$A$1:$D$41,2,FALSE),"Merchant not found")</f>
        <v>Merchant_037</v>
      </c>
      <c r="J475" s="3" t="str">
        <f>IFERROR(VLOOKUP($C475,Merchants!$A$1:$D$41,3,FALSE),"Merchant not found")</f>
        <v>travel</v>
      </c>
      <c r="K475" s="3" t="str">
        <f>IFERROR(VLOOKUP($C475,Merchants!$A$1:$D$41,4,FALSE),"Merchant not found")</f>
        <v>North</v>
      </c>
      <c r="L475" s="3">
        <f>IFERROR(HLOOKUP(F475,Fee_Lookup!$B$1:$E$2,2,FALSE),"Fee not found")</f>
        <v>0.5</v>
      </c>
      <c r="M475" s="3" t="str">
        <f>IF(AND(SUMIF(Transactions!$C$2:$C$548,C475,Transactions!$E$2:$E$548)&gt;5000,K475&lt;&gt;"East"),"High-Value Merchant Day","Normal")</f>
        <v>High-Value Merchant Day</v>
      </c>
    </row>
    <row r="476">
      <c r="A476" s="2" t="s">
        <v>559</v>
      </c>
      <c r="B476" s="2">
        <v>22.0</v>
      </c>
      <c r="C476" s="2">
        <v>15.0</v>
      </c>
      <c r="D476" s="5">
        <v>46051.70694444444</v>
      </c>
      <c r="E476" s="2">
        <v>49.0</v>
      </c>
      <c r="F476" s="2" t="s">
        <v>79</v>
      </c>
      <c r="G476" s="2" t="s">
        <v>36</v>
      </c>
      <c r="H476" s="2">
        <v>27.0</v>
      </c>
      <c r="I476" s="3" t="str">
        <f>IFERROR(VLOOKUP($C476,Merchants!$A$1:$D$41,2,FALSE),"Merchant not found")</f>
        <v>Merchant_015</v>
      </c>
      <c r="J476" s="3" t="str">
        <f>IFERROR(VLOOKUP($C476,Merchants!$A$1:$D$41,3,FALSE),"Merchant not found")</f>
        <v>travel</v>
      </c>
      <c r="K476" s="3" t="str">
        <f>IFERROR(VLOOKUP($C476,Merchants!$A$1:$D$41,4,FALSE),"Merchant not found")</f>
        <v>West</v>
      </c>
      <c r="L476" s="3">
        <f>IFERROR(HLOOKUP(F476,Fee_Lookup!$B$1:$E$2,2,FALSE),"Fee not found")</f>
        <v>1.5</v>
      </c>
      <c r="M476" s="3" t="str">
        <f>IF(AND(SUMIF(Transactions!$C$2:$C$548,C476,Transactions!$E$2:$E$548)&gt;5000,K476&lt;&gt;"East"),"High-Value Merchant Day","Normal")</f>
        <v>High-Value Merchant Day</v>
      </c>
    </row>
    <row r="477">
      <c r="A477" s="2" t="s">
        <v>560</v>
      </c>
      <c r="B477" s="2">
        <v>291.0</v>
      </c>
      <c r="C477" s="2">
        <v>31.0</v>
      </c>
      <c r="D477" s="5">
        <v>46051.955555555556</v>
      </c>
      <c r="E477" s="2">
        <v>49.0</v>
      </c>
      <c r="F477" s="2" t="s">
        <v>79</v>
      </c>
      <c r="G477" s="2" t="s">
        <v>64</v>
      </c>
      <c r="H477" s="2">
        <v>34.0</v>
      </c>
      <c r="I477" s="3" t="str">
        <f>IFERROR(VLOOKUP($C477,Merchants!$A$1:$D$41,2,FALSE),"Merchant not found")</f>
        <v>Merchant_031</v>
      </c>
      <c r="J477" s="3" t="str">
        <f>IFERROR(VLOOKUP($C477,Merchants!$A$1:$D$41,3,FALSE),"Merchant not found")</f>
        <v>bill_payment</v>
      </c>
      <c r="K477" s="3" t="str">
        <f>IFERROR(VLOOKUP($C477,Merchants!$A$1:$D$41,4,FALSE),"Merchant not found")</f>
        <v>South</v>
      </c>
      <c r="L477" s="3">
        <f>IFERROR(HLOOKUP(F477,Fee_Lookup!$B$1:$E$2,2,FALSE),"Fee not found")</f>
        <v>1.5</v>
      </c>
      <c r="M477" s="3" t="str">
        <f>IF(AND(SUMIF(Transactions!$C$2:$C$548,C477,Transactions!$E$2:$E$548)&gt;5000,K477&lt;&gt;"East"),"High-Value Merchant Day","Normal")</f>
        <v>Normal</v>
      </c>
    </row>
    <row r="478">
      <c r="A478" s="2" t="s">
        <v>561</v>
      </c>
      <c r="B478" s="2">
        <v>144.0</v>
      </c>
      <c r="C478" s="2">
        <v>35.0</v>
      </c>
      <c r="D478" s="5">
        <v>46024.11319444444</v>
      </c>
      <c r="E478" s="2">
        <v>1499.0</v>
      </c>
      <c r="F478" s="2" t="s">
        <v>6</v>
      </c>
      <c r="G478" s="2" t="s">
        <v>36</v>
      </c>
      <c r="H478" s="2">
        <v>72.0</v>
      </c>
      <c r="I478" s="3" t="str">
        <f>IFERROR(VLOOKUP($C478,Merchants!$A$1:$D$41,2,FALSE),"Merchant not found")</f>
        <v>Merchant_035</v>
      </c>
      <c r="J478" s="3" t="str">
        <f>IFERROR(VLOOKUP($C478,Merchants!$A$1:$D$41,3,FALSE),"Merchant not found")</f>
        <v>food_delivery</v>
      </c>
      <c r="K478" s="3" t="str">
        <f>IFERROR(VLOOKUP($C478,Merchants!$A$1:$D$41,4,FALSE),"Merchant not found")</f>
        <v>South</v>
      </c>
      <c r="L478" s="3">
        <f>IFERROR(HLOOKUP(F478,Fee_Lookup!$B$1:$E$2,2,FALSE),"Fee not found")</f>
        <v>0.5</v>
      </c>
      <c r="M478" s="3" t="str">
        <f>IF(AND(SUMIF(Transactions!$C$2:$C$548,C478,Transactions!$E$2:$E$548)&gt;5000,K478&lt;&gt;"East"),"High-Value Merchant Day","Normal")</f>
        <v>High-Value Merchant Day</v>
      </c>
    </row>
    <row r="479">
      <c r="A479" s="2" t="s">
        <v>562</v>
      </c>
      <c r="B479" s="2">
        <v>162.0</v>
      </c>
      <c r="C479" s="2">
        <v>2.0</v>
      </c>
      <c r="D479" s="5">
        <v>46044.049305555556</v>
      </c>
      <c r="E479" s="2">
        <v>299.0</v>
      </c>
      <c r="F479" s="2" t="s">
        <v>35</v>
      </c>
      <c r="G479" s="2" t="s">
        <v>36</v>
      </c>
      <c r="H479" s="2">
        <v>26.0</v>
      </c>
      <c r="I479" s="3" t="str">
        <f>IFERROR(VLOOKUP($C479,Merchants!$A$1:$D$41,2,FALSE),"Merchant not found")</f>
        <v>Merchant_002</v>
      </c>
      <c r="J479" s="3" t="str">
        <f>IFERROR(VLOOKUP($C479,Merchants!$A$1:$D$41,3,FALSE),"Merchant not found")</f>
        <v>recharge</v>
      </c>
      <c r="K479" s="3" t="str">
        <f>IFERROR(VLOOKUP($C479,Merchants!$A$1:$D$41,4,FALSE),"Merchant not found")</f>
        <v>South</v>
      </c>
      <c r="L479" s="3">
        <f>IFERROR(HLOOKUP(F479,Fee_Lookup!$B$1:$E$2,2,FALSE),"Fee not found")</f>
        <v>1</v>
      </c>
      <c r="M479" s="3" t="str">
        <f>IF(AND(SUMIF(Transactions!$C$2:$C$548,C479,Transactions!$E$2:$E$548)&gt;5000,K479&lt;&gt;"East"),"High-Value Merchant Day","Normal")</f>
        <v>Normal</v>
      </c>
    </row>
    <row r="480">
      <c r="A480" s="2" t="s">
        <v>563</v>
      </c>
      <c r="B480" s="2">
        <v>204.0</v>
      </c>
      <c r="C480" s="2">
        <v>5.0</v>
      </c>
      <c r="D480" s="5">
        <v>46041.2</v>
      </c>
      <c r="E480" s="2">
        <v>49.0</v>
      </c>
      <c r="F480" s="2" t="s">
        <v>6</v>
      </c>
      <c r="G480" s="2" t="s">
        <v>36</v>
      </c>
      <c r="H480" s="2">
        <v>38.0</v>
      </c>
      <c r="I480" s="3" t="str">
        <f>IFERROR(VLOOKUP($C480,Merchants!$A$1:$D$41,2,FALSE),"Merchant not found")</f>
        <v>Merchant_005</v>
      </c>
      <c r="J480" s="3" t="str">
        <f>IFERROR(VLOOKUP($C480,Merchants!$A$1:$D$41,3,FALSE),"Merchant not found")</f>
        <v>food_delivery</v>
      </c>
      <c r="K480" s="3" t="str">
        <f>IFERROR(VLOOKUP($C480,Merchants!$A$1:$D$41,4,FALSE),"Merchant not found")</f>
        <v>West</v>
      </c>
      <c r="L480" s="3">
        <f>IFERROR(HLOOKUP(F480,Fee_Lookup!$B$1:$E$2,2,FALSE),"Fee not found")</f>
        <v>0.5</v>
      </c>
      <c r="M480" s="3" t="str">
        <f>IF(AND(SUMIF(Transactions!$C$2:$C$548,C480,Transactions!$E$2:$E$548)&gt;5000,K480&lt;&gt;"East"),"High-Value Merchant Day","Normal")</f>
        <v>High-Value Merchant Day</v>
      </c>
    </row>
    <row r="481">
      <c r="A481" s="2" t="s">
        <v>564</v>
      </c>
      <c r="B481" s="2">
        <v>291.0</v>
      </c>
      <c r="C481" s="2">
        <v>25.0</v>
      </c>
      <c r="D481" s="5">
        <v>46028.760416666664</v>
      </c>
      <c r="E481" s="2">
        <v>99.0</v>
      </c>
      <c r="F481" s="2" t="s">
        <v>35</v>
      </c>
      <c r="G481" s="2" t="s">
        <v>36</v>
      </c>
      <c r="H481" s="2">
        <v>86.0</v>
      </c>
      <c r="I481" s="3" t="str">
        <f>IFERROR(VLOOKUP($C481,Merchants!$A$1:$D$41,2,FALSE),"Merchant not found")</f>
        <v>Merchant_025</v>
      </c>
      <c r="J481" s="3" t="str">
        <f>IFERROR(VLOOKUP($C481,Merchants!$A$1:$D$41,3,FALSE),"Merchant not found")</f>
        <v>grocery</v>
      </c>
      <c r="K481" s="3" t="str">
        <f>IFERROR(VLOOKUP($C481,Merchants!$A$1:$D$41,4,FALSE),"Merchant not found")</f>
        <v>East</v>
      </c>
      <c r="L481" s="3">
        <f>IFERROR(HLOOKUP(F481,Fee_Lookup!$B$1:$E$2,2,FALSE),"Fee not found")</f>
        <v>1</v>
      </c>
      <c r="M481" s="3" t="str">
        <f>IF(AND(SUMIF(Transactions!$C$2:$C$548,C481,Transactions!$E$2:$E$548)&gt;5000,K481&lt;&gt;"East"),"High-Value Merchant Day","Normal")</f>
        <v>Normal</v>
      </c>
    </row>
    <row r="482">
      <c r="A482" s="2" t="s">
        <v>565</v>
      </c>
      <c r="B482" s="2">
        <v>197.0</v>
      </c>
      <c r="C482" s="2">
        <v>9.0</v>
      </c>
      <c r="D482" s="5">
        <v>46051.722916666666</v>
      </c>
      <c r="E482" s="2">
        <v>49.0</v>
      </c>
      <c r="F482" s="2" t="s">
        <v>35</v>
      </c>
      <c r="G482" s="2" t="s">
        <v>64</v>
      </c>
      <c r="H482" s="2">
        <v>88.0</v>
      </c>
      <c r="I482" s="3" t="str">
        <f>IFERROR(VLOOKUP($C482,Merchants!$A$1:$D$41,2,FALSE),"Merchant not found")</f>
        <v>Merchant_009</v>
      </c>
      <c r="J482" s="3" t="str">
        <f>IFERROR(VLOOKUP($C482,Merchants!$A$1:$D$41,3,FALSE),"Merchant not found")</f>
        <v>entertainment</v>
      </c>
      <c r="K482" s="3" t="str">
        <f>IFERROR(VLOOKUP($C482,Merchants!$A$1:$D$41,4,FALSE),"Merchant not found")</f>
        <v>West</v>
      </c>
      <c r="L482" s="3">
        <f>IFERROR(HLOOKUP(F482,Fee_Lookup!$B$1:$E$2,2,FALSE),"Fee not found")</f>
        <v>1</v>
      </c>
      <c r="M482" s="3" t="str">
        <f>IF(AND(SUMIF(Transactions!$C$2:$C$548,C482,Transactions!$E$2:$E$548)&gt;5000,K482&lt;&gt;"East"),"High-Value Merchant Day","Normal")</f>
        <v>Normal</v>
      </c>
    </row>
    <row r="483">
      <c r="A483" s="2" t="s">
        <v>566</v>
      </c>
      <c r="B483" s="2">
        <v>178.0</v>
      </c>
      <c r="C483" s="2">
        <v>4.0</v>
      </c>
      <c r="D483" s="5">
        <v>46046.10555555556</v>
      </c>
      <c r="E483" s="2">
        <v>1499.0</v>
      </c>
      <c r="F483" s="2" t="s">
        <v>6</v>
      </c>
      <c r="G483" s="2" t="s">
        <v>36</v>
      </c>
      <c r="H483" s="2">
        <v>12.0</v>
      </c>
      <c r="I483" s="3" t="str">
        <f>IFERROR(VLOOKUP($C483,Merchants!$A$1:$D$41,2,FALSE),"Merchant not found")</f>
        <v>Merchant_004</v>
      </c>
      <c r="J483" s="3" t="str">
        <f>IFERROR(VLOOKUP($C483,Merchants!$A$1:$D$41,3,FALSE),"Merchant not found")</f>
        <v>grocery</v>
      </c>
      <c r="K483" s="3" t="str">
        <f>IFERROR(VLOOKUP($C483,Merchants!$A$1:$D$41,4,FALSE),"Merchant not found")</f>
        <v>West</v>
      </c>
      <c r="L483" s="3">
        <f>IFERROR(HLOOKUP(F483,Fee_Lookup!$B$1:$E$2,2,FALSE),"Fee not found")</f>
        <v>0.5</v>
      </c>
      <c r="M483" s="3" t="str">
        <f>IF(AND(SUMIF(Transactions!$C$2:$C$548,C483,Transactions!$E$2:$E$548)&gt;5000,K483&lt;&gt;"East"),"High-Value Merchant Day","Normal")</f>
        <v>High-Value Merchant Day</v>
      </c>
    </row>
    <row r="484">
      <c r="A484" s="2" t="s">
        <v>567</v>
      </c>
      <c r="B484" s="2">
        <v>39.0</v>
      </c>
      <c r="C484" s="2">
        <v>22.0</v>
      </c>
      <c r="D484" s="5">
        <v>46036.32847222222</v>
      </c>
      <c r="E484" s="2">
        <v>799.0</v>
      </c>
      <c r="F484" s="2" t="s">
        <v>79</v>
      </c>
      <c r="G484" s="2" t="s">
        <v>36</v>
      </c>
      <c r="H484" s="2">
        <v>77.0</v>
      </c>
      <c r="I484" s="3" t="str">
        <f>IFERROR(VLOOKUP($C484,Merchants!$A$1:$D$41,2,FALSE),"Merchant not found")</f>
        <v>Merchant_022</v>
      </c>
      <c r="J484" s="3" t="str">
        <f>IFERROR(VLOOKUP($C484,Merchants!$A$1:$D$41,3,FALSE),"Merchant not found")</f>
        <v>ecommerce</v>
      </c>
      <c r="K484" s="3" t="str">
        <f>IFERROR(VLOOKUP($C484,Merchants!$A$1:$D$41,4,FALSE),"Merchant not found")</f>
        <v>West</v>
      </c>
      <c r="L484" s="3">
        <f>IFERROR(HLOOKUP(F484,Fee_Lookup!$B$1:$E$2,2,FALSE),"Fee not found")</f>
        <v>1.5</v>
      </c>
      <c r="M484" s="3" t="str">
        <f>IF(AND(SUMIF(Transactions!$C$2:$C$548,C484,Transactions!$E$2:$E$548)&gt;5000,K484&lt;&gt;"East"),"High-Value Merchant Day","Normal")</f>
        <v>High-Value Merchant Day</v>
      </c>
    </row>
    <row r="485">
      <c r="A485" s="2" t="s">
        <v>568</v>
      </c>
      <c r="B485" s="2">
        <v>204.0</v>
      </c>
      <c r="C485" s="2">
        <v>21.0</v>
      </c>
      <c r="D485" s="5">
        <v>46047.81805555556</v>
      </c>
      <c r="E485" s="2">
        <v>299.0</v>
      </c>
      <c r="F485" s="2" t="s">
        <v>35</v>
      </c>
      <c r="G485" s="2" t="s">
        <v>36</v>
      </c>
      <c r="H485" s="2">
        <v>3.0</v>
      </c>
      <c r="I485" s="3" t="str">
        <f>IFERROR(VLOOKUP($C485,Merchants!$A$1:$D$41,2,FALSE),"Merchant not found")</f>
        <v>Merchant_021</v>
      </c>
      <c r="J485" s="3" t="str">
        <f>IFERROR(VLOOKUP($C485,Merchants!$A$1:$D$41,3,FALSE),"Merchant not found")</f>
        <v>food_delivery</v>
      </c>
      <c r="K485" s="3" t="str">
        <f>IFERROR(VLOOKUP($C485,Merchants!$A$1:$D$41,4,FALSE),"Merchant not found")</f>
        <v>North</v>
      </c>
      <c r="L485" s="3">
        <f>IFERROR(HLOOKUP(F485,Fee_Lookup!$B$1:$E$2,2,FALSE),"Fee not found")</f>
        <v>1</v>
      </c>
      <c r="M485" s="3" t="str">
        <f>IF(AND(SUMIF(Transactions!$C$2:$C$548,C485,Transactions!$E$2:$E$548)&gt;5000,K485&lt;&gt;"East"),"High-Value Merchant Day","Normal")</f>
        <v>High-Value Merchant Day</v>
      </c>
    </row>
    <row r="486">
      <c r="A486" s="2" t="s">
        <v>569</v>
      </c>
      <c r="B486" s="2">
        <v>231.0</v>
      </c>
      <c r="C486" s="2">
        <v>32.0</v>
      </c>
      <c r="D486" s="5">
        <v>46043.368055555555</v>
      </c>
      <c r="E486" s="2">
        <v>299.0</v>
      </c>
      <c r="F486" s="2" t="s">
        <v>6</v>
      </c>
      <c r="G486" s="2" t="s">
        <v>36</v>
      </c>
      <c r="H486" s="2">
        <v>29.0</v>
      </c>
      <c r="I486" s="3" t="str">
        <f>IFERROR(VLOOKUP($C486,Merchants!$A$1:$D$41,2,FALSE),"Merchant not found")</f>
        <v>Merchant_032</v>
      </c>
      <c r="J486" s="3" t="str">
        <f>IFERROR(VLOOKUP($C486,Merchants!$A$1:$D$41,3,FALSE),"Merchant not found")</f>
        <v>grocery</v>
      </c>
      <c r="K486" s="3" t="str">
        <f>IFERROR(VLOOKUP($C486,Merchants!$A$1:$D$41,4,FALSE),"Merchant not found")</f>
        <v>North</v>
      </c>
      <c r="L486" s="3">
        <f>IFERROR(HLOOKUP(F486,Fee_Lookup!$B$1:$E$2,2,FALSE),"Fee not found")</f>
        <v>0.5</v>
      </c>
      <c r="M486" s="3" t="str">
        <f>IF(AND(SUMIF(Transactions!$C$2:$C$548,C486,Transactions!$E$2:$E$548)&gt;5000,K486&lt;&gt;"East"),"High-Value Merchant Day","Normal")</f>
        <v>High-Value Merchant Day</v>
      </c>
    </row>
    <row r="487">
      <c r="A487" s="2" t="s">
        <v>570</v>
      </c>
      <c r="B487" s="2">
        <v>222.0</v>
      </c>
      <c r="C487" s="2">
        <v>12.0</v>
      </c>
      <c r="D487" s="5">
        <v>46034.725</v>
      </c>
      <c r="E487" s="2">
        <v>499.0</v>
      </c>
      <c r="F487" s="2" t="s">
        <v>35</v>
      </c>
      <c r="G487" s="2" t="s">
        <v>64</v>
      </c>
      <c r="H487" s="2">
        <v>87.0</v>
      </c>
      <c r="I487" s="3" t="str">
        <f>IFERROR(VLOOKUP($C487,Merchants!$A$1:$D$41,2,FALSE),"Merchant not found")</f>
        <v>Merchant_012</v>
      </c>
      <c r="J487" s="3" t="str">
        <f>IFERROR(VLOOKUP($C487,Merchants!$A$1:$D$41,3,FALSE),"Merchant not found")</f>
        <v>food_delivery</v>
      </c>
      <c r="K487" s="3" t="str">
        <f>IFERROR(VLOOKUP($C487,Merchants!$A$1:$D$41,4,FALSE),"Merchant not found")</f>
        <v>South</v>
      </c>
      <c r="L487" s="3">
        <f>IFERROR(HLOOKUP(F487,Fee_Lookup!$B$1:$E$2,2,FALSE),"Fee not found")</f>
        <v>1</v>
      </c>
      <c r="M487" s="3" t="str">
        <f>IF(AND(SUMIF(Transactions!$C$2:$C$548,C487,Transactions!$E$2:$E$548)&gt;5000,K487&lt;&gt;"East"),"High-Value Merchant Day","Normal")</f>
        <v>High-Value Merchant Day</v>
      </c>
    </row>
    <row r="488">
      <c r="A488" s="2" t="s">
        <v>571</v>
      </c>
      <c r="B488" s="2">
        <v>44.0</v>
      </c>
      <c r="C488" s="2">
        <v>40.0</v>
      </c>
      <c r="D488" s="5">
        <v>46041.89166666667</v>
      </c>
      <c r="E488" s="2">
        <v>499.0</v>
      </c>
      <c r="F488" s="2" t="s">
        <v>6</v>
      </c>
      <c r="G488" s="2" t="s">
        <v>36</v>
      </c>
      <c r="H488" s="2">
        <v>37.0</v>
      </c>
      <c r="I488" s="3" t="str">
        <f>IFERROR(VLOOKUP($C488,Merchants!$A$1:$D$41,2,FALSE),"Merchant not found")</f>
        <v>Merchant_040</v>
      </c>
      <c r="J488" s="3" t="str">
        <f>IFERROR(VLOOKUP($C488,Merchants!$A$1:$D$41,3,FALSE),"Merchant not found")</f>
        <v>ecommerce</v>
      </c>
      <c r="K488" s="3" t="str">
        <f>IFERROR(VLOOKUP($C488,Merchants!$A$1:$D$41,4,FALSE),"Merchant not found")</f>
        <v>North</v>
      </c>
      <c r="L488" s="3">
        <f>IFERROR(HLOOKUP(F488,Fee_Lookup!$B$1:$E$2,2,FALSE),"Fee not found")</f>
        <v>0.5</v>
      </c>
      <c r="M488" s="3" t="str">
        <f>IF(AND(SUMIF(Transactions!$C$2:$C$548,C488,Transactions!$E$2:$E$548)&gt;5000,K488&lt;&gt;"East"),"High-Value Merchant Day","Normal")</f>
        <v>High-Value Merchant Day</v>
      </c>
    </row>
    <row r="489">
      <c r="A489" s="2" t="s">
        <v>572</v>
      </c>
      <c r="B489" s="2">
        <v>38.0</v>
      </c>
      <c r="C489" s="2">
        <v>6.0</v>
      </c>
      <c r="D489" s="5">
        <v>46048.322916666664</v>
      </c>
      <c r="E489" s="2">
        <v>49.0</v>
      </c>
      <c r="F489" s="2" t="s">
        <v>35</v>
      </c>
      <c r="G489" s="2" t="s">
        <v>36</v>
      </c>
      <c r="H489" s="2">
        <v>34.0</v>
      </c>
      <c r="I489" s="3" t="str">
        <f>IFERROR(VLOOKUP($C489,Merchants!$A$1:$D$41,2,FALSE),"Merchant not found")</f>
        <v>Merchant_006</v>
      </c>
      <c r="J489" s="3" t="str">
        <f>IFERROR(VLOOKUP($C489,Merchants!$A$1:$D$41,3,FALSE),"Merchant not found")</f>
        <v>entertainment</v>
      </c>
      <c r="K489" s="3" t="str">
        <f>IFERROR(VLOOKUP($C489,Merchants!$A$1:$D$41,4,FALSE),"Merchant not found")</f>
        <v>South</v>
      </c>
      <c r="L489" s="3">
        <f>IFERROR(HLOOKUP(F489,Fee_Lookup!$B$1:$E$2,2,FALSE),"Fee not found")</f>
        <v>1</v>
      </c>
      <c r="M489" s="3" t="str">
        <f>IF(AND(SUMIF(Transactions!$C$2:$C$548,C489,Transactions!$E$2:$E$548)&gt;5000,K489&lt;&gt;"East"),"High-Value Merchant Day","Normal")</f>
        <v>High-Value Merchant Day</v>
      </c>
    </row>
    <row r="490">
      <c r="A490" s="2" t="s">
        <v>573</v>
      </c>
      <c r="B490" s="2">
        <v>325.0</v>
      </c>
      <c r="C490" s="2">
        <v>10.0</v>
      </c>
      <c r="D490" s="5">
        <v>46027.53125</v>
      </c>
      <c r="E490" s="2">
        <v>49.0</v>
      </c>
      <c r="F490" s="2" t="s">
        <v>79</v>
      </c>
      <c r="G490" s="2" t="s">
        <v>62</v>
      </c>
      <c r="H490" s="2">
        <v>94.0</v>
      </c>
      <c r="I490" s="3" t="str">
        <f>IFERROR(VLOOKUP($C490,Merchants!$A$1:$D$41,2,FALSE),"Merchant not found")</f>
        <v>Merchant_010</v>
      </c>
      <c r="J490" s="3" t="str">
        <f>IFERROR(VLOOKUP($C490,Merchants!$A$1:$D$41,3,FALSE),"Merchant not found")</f>
        <v>grocery</v>
      </c>
      <c r="K490" s="3" t="str">
        <f>IFERROR(VLOOKUP($C490,Merchants!$A$1:$D$41,4,FALSE),"Merchant not found")</f>
        <v>East</v>
      </c>
      <c r="L490" s="3">
        <f>IFERROR(HLOOKUP(F490,Fee_Lookup!$B$1:$E$2,2,FALSE),"Fee not found")</f>
        <v>1.5</v>
      </c>
      <c r="M490" s="3" t="str">
        <f>IF(AND(SUMIF(Transactions!$C$2:$C$548,C490,Transactions!$E$2:$E$548)&gt;5000,K490&lt;&gt;"East"),"High-Value Merchant Day","Normal")</f>
        <v>Normal</v>
      </c>
    </row>
    <row r="491">
      <c r="A491" s="2" t="s">
        <v>574</v>
      </c>
      <c r="B491" s="2">
        <v>55.0</v>
      </c>
      <c r="C491" s="2">
        <v>6.0</v>
      </c>
      <c r="D491" s="5">
        <v>46035.43263888889</v>
      </c>
      <c r="E491" s="2">
        <v>1499.0</v>
      </c>
      <c r="F491" s="2" t="s">
        <v>96</v>
      </c>
      <c r="G491" s="2" t="s">
        <v>36</v>
      </c>
      <c r="H491" s="2">
        <v>0.0</v>
      </c>
      <c r="I491" s="3" t="str">
        <f>IFERROR(VLOOKUP($C491,Merchants!$A$1:$D$41,2,FALSE),"Merchant not found")</f>
        <v>Merchant_006</v>
      </c>
      <c r="J491" s="3" t="str">
        <f>IFERROR(VLOOKUP($C491,Merchants!$A$1:$D$41,3,FALSE),"Merchant not found")</f>
        <v>entertainment</v>
      </c>
      <c r="K491" s="3" t="str">
        <f>IFERROR(VLOOKUP($C491,Merchants!$A$1:$D$41,4,FALSE),"Merchant not found")</f>
        <v>South</v>
      </c>
      <c r="L491" s="3">
        <f>IFERROR(HLOOKUP(F491,Fee_Lookup!$B$1:$E$2,2,FALSE),"Fee not found")</f>
        <v>1.8</v>
      </c>
      <c r="M491" s="3" t="str">
        <f>IF(AND(SUMIF(Transactions!$C$2:$C$548,C491,Transactions!$E$2:$E$548)&gt;5000,K491&lt;&gt;"East"),"High-Value Merchant Day","Normal")</f>
        <v>High-Value Merchant Day</v>
      </c>
    </row>
    <row r="492">
      <c r="A492" s="2" t="s">
        <v>575</v>
      </c>
      <c r="B492" s="2">
        <v>139.0</v>
      </c>
      <c r="C492" s="2">
        <v>7.0</v>
      </c>
      <c r="D492" s="5">
        <v>46032.59930555556</v>
      </c>
      <c r="E492" s="2">
        <v>499.0</v>
      </c>
      <c r="F492" s="2" t="s">
        <v>96</v>
      </c>
      <c r="G492" s="2" t="s">
        <v>36</v>
      </c>
      <c r="H492" s="2">
        <v>16.0</v>
      </c>
      <c r="I492" s="3" t="str">
        <f>IFERROR(VLOOKUP($C492,Merchants!$A$1:$D$41,2,FALSE),"Merchant not found")</f>
        <v>Merchant_007</v>
      </c>
      <c r="J492" s="3" t="str">
        <f>IFERROR(VLOOKUP($C492,Merchants!$A$1:$D$41,3,FALSE),"Merchant not found")</f>
        <v>bill_payment</v>
      </c>
      <c r="K492" s="3" t="str">
        <f>IFERROR(VLOOKUP($C492,Merchants!$A$1:$D$41,4,FALSE),"Merchant not found")</f>
        <v>South</v>
      </c>
      <c r="L492" s="3">
        <f>IFERROR(HLOOKUP(F492,Fee_Lookup!$B$1:$E$2,2,FALSE),"Fee not found")</f>
        <v>1.8</v>
      </c>
      <c r="M492" s="3" t="str">
        <f>IF(AND(SUMIF(Transactions!$C$2:$C$548,C492,Transactions!$E$2:$E$548)&gt;5000,K492&lt;&gt;"East"),"High-Value Merchant Day","Normal")</f>
        <v>High-Value Merchant Day</v>
      </c>
    </row>
    <row r="493">
      <c r="A493" s="2" t="s">
        <v>576</v>
      </c>
      <c r="B493" s="2">
        <v>230.0</v>
      </c>
      <c r="C493" s="2">
        <v>36.0</v>
      </c>
      <c r="D493" s="5">
        <v>46025.22708333333</v>
      </c>
      <c r="E493" s="2">
        <v>99.0</v>
      </c>
      <c r="F493" s="2" t="s">
        <v>35</v>
      </c>
      <c r="G493" s="2" t="s">
        <v>36</v>
      </c>
      <c r="H493" s="2">
        <v>71.0</v>
      </c>
      <c r="I493" s="3" t="str">
        <f>IFERROR(VLOOKUP($C493,Merchants!$A$1:$D$41,2,FALSE),"Merchant not found")</f>
        <v>Merchant_036</v>
      </c>
      <c r="J493" s="3" t="str">
        <f>IFERROR(VLOOKUP($C493,Merchants!$A$1:$D$41,3,FALSE),"Merchant not found")</f>
        <v>ecommerce</v>
      </c>
      <c r="K493" s="3" t="str">
        <f>IFERROR(VLOOKUP($C493,Merchants!$A$1:$D$41,4,FALSE),"Merchant not found")</f>
        <v>East</v>
      </c>
      <c r="L493" s="3">
        <f>IFERROR(HLOOKUP(F493,Fee_Lookup!$B$1:$E$2,2,FALSE),"Fee not found")</f>
        <v>1</v>
      </c>
      <c r="M493" s="3" t="str">
        <f>IF(AND(SUMIF(Transactions!$C$2:$C$548,C493,Transactions!$E$2:$E$548)&gt;5000,K493&lt;&gt;"East"),"High-Value Merchant Day","Normal")</f>
        <v>Normal</v>
      </c>
    </row>
    <row r="494">
      <c r="A494" s="2" t="s">
        <v>577</v>
      </c>
      <c r="B494" s="2">
        <v>14.0</v>
      </c>
      <c r="C494" s="2">
        <v>6.0</v>
      </c>
      <c r="D494" s="5">
        <v>46039.54583333333</v>
      </c>
      <c r="E494" s="2">
        <v>799.0</v>
      </c>
      <c r="F494" s="2" t="s">
        <v>96</v>
      </c>
      <c r="G494" s="2" t="s">
        <v>36</v>
      </c>
      <c r="H494" s="2">
        <v>45.0</v>
      </c>
      <c r="I494" s="3" t="str">
        <f>IFERROR(VLOOKUP($C494,Merchants!$A$1:$D$41,2,FALSE),"Merchant not found")</f>
        <v>Merchant_006</v>
      </c>
      <c r="J494" s="3" t="str">
        <f>IFERROR(VLOOKUP($C494,Merchants!$A$1:$D$41,3,FALSE),"Merchant not found")</f>
        <v>entertainment</v>
      </c>
      <c r="K494" s="3" t="str">
        <f>IFERROR(VLOOKUP($C494,Merchants!$A$1:$D$41,4,FALSE),"Merchant not found")</f>
        <v>South</v>
      </c>
      <c r="L494" s="3">
        <f>IFERROR(HLOOKUP(F494,Fee_Lookup!$B$1:$E$2,2,FALSE),"Fee not found")</f>
        <v>1.8</v>
      </c>
      <c r="M494" s="3" t="str">
        <f>IF(AND(SUMIF(Transactions!$C$2:$C$548,C494,Transactions!$E$2:$E$548)&gt;5000,K494&lt;&gt;"East"),"High-Value Merchant Day","Normal")</f>
        <v>High-Value Merchant Day</v>
      </c>
    </row>
    <row r="495">
      <c r="A495" s="2" t="s">
        <v>578</v>
      </c>
      <c r="B495" s="2">
        <v>307.0</v>
      </c>
      <c r="C495" s="2">
        <v>21.0</v>
      </c>
      <c r="D495" s="5">
        <v>46040.10972222222</v>
      </c>
      <c r="E495" s="2">
        <v>799.0</v>
      </c>
      <c r="F495" s="2" t="s">
        <v>6</v>
      </c>
      <c r="G495" s="2" t="s">
        <v>36</v>
      </c>
      <c r="H495" s="2">
        <v>49.0</v>
      </c>
      <c r="I495" s="3" t="str">
        <f>IFERROR(VLOOKUP($C495,Merchants!$A$1:$D$41,2,FALSE),"Merchant not found")</f>
        <v>Merchant_021</v>
      </c>
      <c r="J495" s="3" t="str">
        <f>IFERROR(VLOOKUP($C495,Merchants!$A$1:$D$41,3,FALSE),"Merchant not found")</f>
        <v>food_delivery</v>
      </c>
      <c r="K495" s="3" t="str">
        <f>IFERROR(VLOOKUP($C495,Merchants!$A$1:$D$41,4,FALSE),"Merchant not found")</f>
        <v>North</v>
      </c>
      <c r="L495" s="3">
        <f>IFERROR(HLOOKUP(F495,Fee_Lookup!$B$1:$E$2,2,FALSE),"Fee not found")</f>
        <v>0.5</v>
      </c>
      <c r="M495" s="3" t="str">
        <f>IF(AND(SUMIF(Transactions!$C$2:$C$548,C495,Transactions!$E$2:$E$548)&gt;5000,K495&lt;&gt;"East"),"High-Value Merchant Day","Normal")</f>
        <v>High-Value Merchant Day</v>
      </c>
    </row>
    <row r="496">
      <c r="A496" s="2" t="s">
        <v>579</v>
      </c>
      <c r="B496" s="2">
        <v>199.0</v>
      </c>
      <c r="C496" s="2">
        <v>6.0</v>
      </c>
      <c r="D496" s="5">
        <v>46023.393055555556</v>
      </c>
      <c r="E496" s="2">
        <v>49.0</v>
      </c>
      <c r="F496" s="2" t="s">
        <v>6</v>
      </c>
      <c r="G496" s="2" t="s">
        <v>36</v>
      </c>
      <c r="H496" s="2">
        <v>92.0</v>
      </c>
      <c r="I496" s="3" t="str">
        <f>IFERROR(VLOOKUP($C496,Merchants!$A$1:$D$41,2,FALSE),"Merchant not found")</f>
        <v>Merchant_006</v>
      </c>
      <c r="J496" s="3" t="str">
        <f>IFERROR(VLOOKUP($C496,Merchants!$A$1:$D$41,3,FALSE),"Merchant not found")</f>
        <v>entertainment</v>
      </c>
      <c r="K496" s="3" t="str">
        <f>IFERROR(VLOOKUP($C496,Merchants!$A$1:$D$41,4,FALSE),"Merchant not found")</f>
        <v>South</v>
      </c>
      <c r="L496" s="3">
        <f>IFERROR(HLOOKUP(F496,Fee_Lookup!$B$1:$E$2,2,FALSE),"Fee not found")</f>
        <v>0.5</v>
      </c>
      <c r="M496" s="3" t="str">
        <f>IF(AND(SUMIF(Transactions!$C$2:$C$548,C496,Transactions!$E$2:$E$548)&gt;5000,K496&lt;&gt;"East"),"High-Value Merchant Day","Normal")</f>
        <v>High-Value Merchant Day</v>
      </c>
    </row>
    <row r="497">
      <c r="A497" s="2" t="s">
        <v>580</v>
      </c>
      <c r="B497" s="2">
        <v>125.0</v>
      </c>
      <c r="C497" s="2">
        <v>37.0</v>
      </c>
      <c r="D497" s="5">
        <v>46051.74791666667</v>
      </c>
      <c r="E497" s="2">
        <v>149.0</v>
      </c>
      <c r="F497" s="2" t="s">
        <v>35</v>
      </c>
      <c r="G497" s="2" t="s">
        <v>36</v>
      </c>
      <c r="H497" s="2">
        <v>66.0</v>
      </c>
      <c r="I497" s="3" t="str">
        <f>IFERROR(VLOOKUP($C497,Merchants!$A$1:$D$41,2,FALSE),"Merchant not found")</f>
        <v>Merchant_037</v>
      </c>
      <c r="J497" s="3" t="str">
        <f>IFERROR(VLOOKUP($C497,Merchants!$A$1:$D$41,3,FALSE),"Merchant not found")</f>
        <v>travel</v>
      </c>
      <c r="K497" s="3" t="str">
        <f>IFERROR(VLOOKUP($C497,Merchants!$A$1:$D$41,4,FALSE),"Merchant not found")</f>
        <v>North</v>
      </c>
      <c r="L497" s="3">
        <f>IFERROR(HLOOKUP(F497,Fee_Lookup!$B$1:$E$2,2,FALSE),"Fee not found")</f>
        <v>1</v>
      </c>
      <c r="M497" s="3" t="str">
        <f>IF(AND(SUMIF(Transactions!$C$2:$C$548,C497,Transactions!$E$2:$E$548)&gt;5000,K497&lt;&gt;"East"),"High-Value Merchant Day","Normal")</f>
        <v>High-Value Merchant Day</v>
      </c>
    </row>
    <row r="498">
      <c r="A498" s="2" t="s">
        <v>581</v>
      </c>
      <c r="B498" s="2">
        <v>87.0</v>
      </c>
      <c r="C498" s="2">
        <v>9.0</v>
      </c>
      <c r="D498" s="5">
        <v>46028.89166666667</v>
      </c>
      <c r="E498" s="2">
        <v>149.0</v>
      </c>
      <c r="F498" s="2" t="s">
        <v>6</v>
      </c>
      <c r="G498" s="2" t="s">
        <v>36</v>
      </c>
      <c r="H498" s="2">
        <v>34.0</v>
      </c>
      <c r="I498" s="3" t="str">
        <f>IFERROR(VLOOKUP($C498,Merchants!$A$1:$D$41,2,FALSE),"Merchant not found")</f>
        <v>Merchant_009</v>
      </c>
      <c r="J498" s="3" t="str">
        <f>IFERROR(VLOOKUP($C498,Merchants!$A$1:$D$41,3,FALSE),"Merchant not found")</f>
        <v>entertainment</v>
      </c>
      <c r="K498" s="3" t="str">
        <f>IFERROR(VLOOKUP($C498,Merchants!$A$1:$D$41,4,FALSE),"Merchant not found")</f>
        <v>West</v>
      </c>
      <c r="L498" s="3">
        <f>IFERROR(HLOOKUP(F498,Fee_Lookup!$B$1:$E$2,2,FALSE),"Fee not found")</f>
        <v>0.5</v>
      </c>
      <c r="M498" s="3" t="str">
        <f>IF(AND(SUMIF(Transactions!$C$2:$C$548,C498,Transactions!$E$2:$E$548)&gt;5000,K498&lt;&gt;"East"),"High-Value Merchant Day","Normal")</f>
        <v>Normal</v>
      </c>
    </row>
    <row r="499">
      <c r="A499" s="2" t="s">
        <v>582</v>
      </c>
      <c r="B499" s="2">
        <v>75.0</v>
      </c>
      <c r="C499" s="2">
        <v>5.0</v>
      </c>
      <c r="D499" s="5">
        <v>46032.35486111111</v>
      </c>
      <c r="E499" s="2">
        <v>99.0</v>
      </c>
      <c r="F499" s="2" t="s">
        <v>6</v>
      </c>
      <c r="G499" s="2" t="s">
        <v>36</v>
      </c>
      <c r="H499" s="2">
        <v>21.0</v>
      </c>
      <c r="I499" s="3" t="str">
        <f>IFERROR(VLOOKUP($C499,Merchants!$A$1:$D$41,2,FALSE),"Merchant not found")</f>
        <v>Merchant_005</v>
      </c>
      <c r="J499" s="3" t="str">
        <f>IFERROR(VLOOKUP($C499,Merchants!$A$1:$D$41,3,FALSE),"Merchant not found")</f>
        <v>food_delivery</v>
      </c>
      <c r="K499" s="3" t="str">
        <f>IFERROR(VLOOKUP($C499,Merchants!$A$1:$D$41,4,FALSE),"Merchant not found")</f>
        <v>West</v>
      </c>
      <c r="L499" s="3">
        <f>IFERROR(HLOOKUP(F499,Fee_Lookup!$B$1:$E$2,2,FALSE),"Fee not found")</f>
        <v>0.5</v>
      </c>
      <c r="M499" s="3" t="str">
        <f>IF(AND(SUMIF(Transactions!$C$2:$C$548,C499,Transactions!$E$2:$E$548)&gt;5000,K499&lt;&gt;"East"),"High-Value Merchant Day","Normal")</f>
        <v>High-Value Merchant Day</v>
      </c>
    </row>
    <row r="500">
      <c r="A500" s="2" t="s">
        <v>583</v>
      </c>
      <c r="B500" s="2">
        <v>154.0</v>
      </c>
      <c r="C500" s="2">
        <v>31.0</v>
      </c>
      <c r="D500" s="5">
        <v>46036.35138888889</v>
      </c>
      <c r="E500" s="2">
        <v>499.0</v>
      </c>
      <c r="F500" s="2" t="s">
        <v>35</v>
      </c>
      <c r="G500" s="2" t="s">
        <v>36</v>
      </c>
      <c r="H500" s="2">
        <v>100.0</v>
      </c>
      <c r="I500" s="3" t="str">
        <f>IFERROR(VLOOKUP($C500,Merchants!$A$1:$D$41,2,FALSE),"Merchant not found")</f>
        <v>Merchant_031</v>
      </c>
      <c r="J500" s="3" t="str">
        <f>IFERROR(VLOOKUP($C500,Merchants!$A$1:$D$41,3,FALSE),"Merchant not found")</f>
        <v>bill_payment</v>
      </c>
      <c r="K500" s="3" t="str">
        <f>IFERROR(VLOOKUP($C500,Merchants!$A$1:$D$41,4,FALSE),"Merchant not found")</f>
        <v>South</v>
      </c>
      <c r="L500" s="3">
        <f>IFERROR(HLOOKUP(F500,Fee_Lookup!$B$1:$E$2,2,FALSE),"Fee not found")</f>
        <v>1</v>
      </c>
      <c r="M500" s="3" t="str">
        <f>IF(AND(SUMIF(Transactions!$C$2:$C$548,C500,Transactions!$E$2:$E$548)&gt;5000,K500&lt;&gt;"East"),"High-Value Merchant Day","Normal")</f>
        <v>Normal</v>
      </c>
    </row>
    <row r="501">
      <c r="A501" s="2" t="s">
        <v>584</v>
      </c>
      <c r="B501" s="2">
        <v>127.0</v>
      </c>
      <c r="C501" s="2">
        <v>32.0</v>
      </c>
      <c r="D501" s="5">
        <v>46025.46944444445</v>
      </c>
      <c r="E501" s="2">
        <v>149.0</v>
      </c>
      <c r="F501" s="2" t="s">
        <v>96</v>
      </c>
      <c r="G501" s="2" t="s">
        <v>36</v>
      </c>
      <c r="H501" s="2">
        <v>76.0</v>
      </c>
      <c r="I501" s="3" t="str">
        <f>IFERROR(VLOOKUP($C501,Merchants!$A$1:$D$41,2,FALSE),"Merchant not found")</f>
        <v>Merchant_032</v>
      </c>
      <c r="J501" s="3" t="str">
        <f>IFERROR(VLOOKUP($C501,Merchants!$A$1:$D$41,3,FALSE),"Merchant not found")</f>
        <v>grocery</v>
      </c>
      <c r="K501" s="3" t="str">
        <f>IFERROR(VLOOKUP($C501,Merchants!$A$1:$D$41,4,FALSE),"Merchant not found")</f>
        <v>North</v>
      </c>
      <c r="L501" s="3">
        <f>IFERROR(HLOOKUP(F501,Fee_Lookup!$B$1:$E$2,2,FALSE),"Fee not found")</f>
        <v>1.8</v>
      </c>
      <c r="M501" s="3" t="str">
        <f>IF(AND(SUMIF(Transactions!$C$2:$C$548,C501,Transactions!$E$2:$E$548)&gt;5000,K501&lt;&gt;"East"),"High-Value Merchant Day","Normal")</f>
        <v>High-Value Merchant Day</v>
      </c>
    </row>
    <row r="502">
      <c r="A502" s="2" t="s">
        <v>585</v>
      </c>
      <c r="B502" s="2">
        <v>351.0</v>
      </c>
      <c r="C502" s="2">
        <v>7.0</v>
      </c>
      <c r="D502" s="5">
        <v>46052.25</v>
      </c>
      <c r="E502" s="2">
        <v>1999.0</v>
      </c>
      <c r="F502" s="2" t="s">
        <v>96</v>
      </c>
      <c r="G502" s="2" t="s">
        <v>62</v>
      </c>
      <c r="H502" s="2">
        <v>79.0</v>
      </c>
      <c r="I502" s="3" t="str">
        <f>IFERROR(VLOOKUP($C502,Merchants!$A$1:$D$41,2,FALSE),"Merchant not found")</f>
        <v>Merchant_007</v>
      </c>
      <c r="J502" s="3" t="str">
        <f>IFERROR(VLOOKUP($C502,Merchants!$A$1:$D$41,3,FALSE),"Merchant not found")</f>
        <v>bill_payment</v>
      </c>
      <c r="K502" s="3" t="str">
        <f>IFERROR(VLOOKUP($C502,Merchants!$A$1:$D$41,4,FALSE),"Merchant not found")</f>
        <v>South</v>
      </c>
      <c r="L502" s="3">
        <f>IFERROR(HLOOKUP(F502,Fee_Lookup!$B$1:$E$2,2,FALSE),"Fee not found")</f>
        <v>1.8</v>
      </c>
      <c r="M502" s="3" t="str">
        <f>IF(AND(SUMIF(Transactions!$C$2:$C$548,C502,Transactions!$E$2:$E$548)&gt;5000,K502&lt;&gt;"East"),"High-Value Merchant Day","Normal")</f>
        <v>High-Value Merchant Day</v>
      </c>
    </row>
    <row r="503">
      <c r="A503" s="2" t="s">
        <v>586</v>
      </c>
      <c r="B503" s="2">
        <v>352.0</v>
      </c>
      <c r="C503" s="2">
        <v>40.0</v>
      </c>
      <c r="D503" s="5">
        <v>46033.5</v>
      </c>
      <c r="E503" s="2">
        <v>4999.0</v>
      </c>
      <c r="F503" s="2" t="s">
        <v>96</v>
      </c>
      <c r="G503" s="2" t="s">
        <v>62</v>
      </c>
      <c r="H503" s="2">
        <v>95.0</v>
      </c>
      <c r="I503" s="3" t="str">
        <f>IFERROR(VLOOKUP($C503,Merchants!$A$1:$D$41,2,FALSE),"Merchant not found")</f>
        <v>Merchant_040</v>
      </c>
      <c r="J503" s="3" t="str">
        <f>IFERROR(VLOOKUP($C503,Merchants!$A$1:$D$41,3,FALSE),"Merchant not found")</f>
        <v>ecommerce</v>
      </c>
      <c r="K503" s="3" t="str">
        <f>IFERROR(VLOOKUP($C503,Merchants!$A$1:$D$41,4,FALSE),"Merchant not found")</f>
        <v>North</v>
      </c>
      <c r="L503" s="3">
        <f>IFERROR(HLOOKUP(F503,Fee_Lookup!$B$1:$E$2,2,FALSE),"Fee not found")</f>
        <v>1.8</v>
      </c>
      <c r="M503" s="3" t="str">
        <f>IF(AND(SUMIF(Transactions!$C$2:$C$548,C503,Transactions!$E$2:$E$548)&gt;5000,K503&lt;&gt;"East"),"High-Value Merchant Day","Normal")</f>
        <v>High-Value Merchant Day</v>
      </c>
    </row>
    <row r="504">
      <c r="A504" s="2" t="s">
        <v>587</v>
      </c>
      <c r="B504" s="2">
        <v>353.0</v>
      </c>
      <c r="C504" s="2">
        <v>28.0</v>
      </c>
      <c r="D504" s="5">
        <v>46043.583333333336</v>
      </c>
      <c r="E504" s="2">
        <v>1999.0</v>
      </c>
      <c r="F504" s="2" t="s">
        <v>96</v>
      </c>
      <c r="G504" s="2" t="s">
        <v>62</v>
      </c>
      <c r="H504" s="2">
        <v>79.0</v>
      </c>
      <c r="I504" s="3" t="str">
        <f>IFERROR(VLOOKUP($C504,Merchants!$A$1:$D$41,2,FALSE),"Merchant not found")</f>
        <v>Merchant_028</v>
      </c>
      <c r="J504" s="3" t="str">
        <f>IFERROR(VLOOKUP($C504,Merchants!$A$1:$D$41,3,FALSE),"Merchant not found")</f>
        <v>food_delivery</v>
      </c>
      <c r="K504" s="3" t="str">
        <f>IFERROR(VLOOKUP($C504,Merchants!$A$1:$D$41,4,FALSE),"Merchant not found")</f>
        <v>East</v>
      </c>
      <c r="L504" s="3">
        <f>IFERROR(HLOOKUP(F504,Fee_Lookup!$B$1:$E$2,2,FALSE),"Fee not found")</f>
        <v>1.8</v>
      </c>
      <c r="M504" s="3" t="str">
        <f>IF(AND(SUMIF(Transactions!$C$2:$C$548,C504,Transactions!$E$2:$E$548)&gt;5000,K504&lt;&gt;"East"),"High-Value Merchant Day","Normal")</f>
        <v>Normal</v>
      </c>
    </row>
    <row r="505">
      <c r="A505" s="2" t="s">
        <v>588</v>
      </c>
      <c r="B505" s="2">
        <v>354.0</v>
      </c>
      <c r="C505" s="2">
        <v>13.0</v>
      </c>
      <c r="D505" s="5">
        <v>46043.791666666664</v>
      </c>
      <c r="E505" s="2">
        <v>4999.0</v>
      </c>
      <c r="F505" s="2" t="s">
        <v>96</v>
      </c>
      <c r="G505" s="2" t="s">
        <v>62</v>
      </c>
      <c r="H505" s="2">
        <v>80.0</v>
      </c>
      <c r="I505" s="3" t="str">
        <f>IFERROR(VLOOKUP($C505,Merchants!$A$1:$D$41,2,FALSE),"Merchant not found")</f>
        <v>Merchant_013</v>
      </c>
      <c r="J505" s="3" t="str">
        <f>IFERROR(VLOOKUP($C505,Merchants!$A$1:$D$41,3,FALSE),"Merchant not found")</f>
        <v>ecommerce</v>
      </c>
      <c r="K505" s="3" t="str">
        <f>IFERROR(VLOOKUP($C505,Merchants!$A$1:$D$41,4,FALSE),"Merchant not found")</f>
        <v>North</v>
      </c>
      <c r="L505" s="3">
        <f>IFERROR(HLOOKUP(F505,Fee_Lookup!$B$1:$E$2,2,FALSE),"Fee not found")</f>
        <v>1.8</v>
      </c>
      <c r="M505" s="3" t="str">
        <f>IF(AND(SUMIF(Transactions!$C$2:$C$548,C505,Transactions!$E$2:$E$548)&gt;5000,K505&lt;&gt;"East"),"High-Value Merchant Day","Normal")</f>
        <v>High-Value Merchant Day</v>
      </c>
    </row>
    <row r="506">
      <c r="A506" s="2" t="s">
        <v>589</v>
      </c>
      <c r="B506" s="2">
        <v>355.0</v>
      </c>
      <c r="C506" s="2">
        <v>19.0</v>
      </c>
      <c r="D506" s="5">
        <v>46038.5</v>
      </c>
      <c r="E506" s="2">
        <v>4999.0</v>
      </c>
      <c r="F506" s="2" t="s">
        <v>96</v>
      </c>
      <c r="G506" s="2" t="s">
        <v>62</v>
      </c>
      <c r="H506" s="2">
        <v>100.0</v>
      </c>
      <c r="I506" s="3" t="str">
        <f>IFERROR(VLOOKUP($C506,Merchants!$A$1:$D$41,2,FALSE),"Merchant not found")</f>
        <v>Merchant_019</v>
      </c>
      <c r="J506" s="3" t="str">
        <f>IFERROR(VLOOKUP($C506,Merchants!$A$1:$D$41,3,FALSE),"Merchant not found")</f>
        <v>recharge</v>
      </c>
      <c r="K506" s="3" t="str">
        <f>IFERROR(VLOOKUP($C506,Merchants!$A$1:$D$41,4,FALSE),"Merchant not found")</f>
        <v>North</v>
      </c>
      <c r="L506" s="3">
        <f>IFERROR(HLOOKUP(F506,Fee_Lookup!$B$1:$E$2,2,FALSE),"Fee not found")</f>
        <v>1.8</v>
      </c>
      <c r="M506" s="3" t="str">
        <f>IF(AND(SUMIF(Transactions!$C$2:$C$548,C506,Transactions!$E$2:$E$548)&gt;5000,K506&lt;&gt;"East"),"High-Value Merchant Day","Normal")</f>
        <v>High-Value Merchant Day</v>
      </c>
    </row>
    <row r="507">
      <c r="A507" s="2" t="s">
        <v>590</v>
      </c>
      <c r="B507" s="2">
        <v>356.0</v>
      </c>
      <c r="C507" s="2">
        <v>25.0</v>
      </c>
      <c r="D507" s="5">
        <v>46051.291666666664</v>
      </c>
      <c r="E507" s="2">
        <v>2999.0</v>
      </c>
      <c r="F507" s="2" t="s">
        <v>96</v>
      </c>
      <c r="G507" s="2" t="s">
        <v>62</v>
      </c>
      <c r="H507" s="2">
        <v>96.0</v>
      </c>
      <c r="I507" s="3" t="str">
        <f>IFERROR(VLOOKUP($C507,Merchants!$A$1:$D$41,2,FALSE),"Merchant not found")</f>
        <v>Merchant_025</v>
      </c>
      <c r="J507" s="3" t="str">
        <f>IFERROR(VLOOKUP($C507,Merchants!$A$1:$D$41,3,FALSE),"Merchant not found")</f>
        <v>grocery</v>
      </c>
      <c r="K507" s="3" t="str">
        <f>IFERROR(VLOOKUP($C507,Merchants!$A$1:$D$41,4,FALSE),"Merchant not found")</f>
        <v>East</v>
      </c>
      <c r="L507" s="3">
        <f>IFERROR(HLOOKUP(F507,Fee_Lookup!$B$1:$E$2,2,FALSE),"Fee not found")</f>
        <v>1.8</v>
      </c>
      <c r="M507" s="3" t="str">
        <f>IF(AND(SUMIF(Transactions!$C$2:$C$548,C507,Transactions!$E$2:$E$548)&gt;5000,K507&lt;&gt;"East"),"High-Value Merchant Day","Normal")</f>
        <v>Normal</v>
      </c>
    </row>
    <row r="508">
      <c r="A508" s="2" t="s">
        <v>591</v>
      </c>
      <c r="B508" s="2">
        <v>357.0</v>
      </c>
      <c r="C508" s="2">
        <v>37.0</v>
      </c>
      <c r="D508" s="5">
        <v>46045.458333333336</v>
      </c>
      <c r="E508" s="2">
        <v>1999.0</v>
      </c>
      <c r="F508" s="2" t="s">
        <v>96</v>
      </c>
      <c r="G508" s="2" t="s">
        <v>62</v>
      </c>
      <c r="H508" s="2">
        <v>88.0</v>
      </c>
      <c r="I508" s="3" t="str">
        <f>IFERROR(VLOOKUP($C508,Merchants!$A$1:$D$41,2,FALSE),"Merchant not found")</f>
        <v>Merchant_037</v>
      </c>
      <c r="J508" s="3" t="str">
        <f>IFERROR(VLOOKUP($C508,Merchants!$A$1:$D$41,3,FALSE),"Merchant not found")</f>
        <v>travel</v>
      </c>
      <c r="K508" s="3" t="str">
        <f>IFERROR(VLOOKUP($C508,Merchants!$A$1:$D$41,4,FALSE),"Merchant not found")</f>
        <v>North</v>
      </c>
      <c r="L508" s="3">
        <f>IFERROR(HLOOKUP(F508,Fee_Lookup!$B$1:$E$2,2,FALSE),"Fee not found")</f>
        <v>1.8</v>
      </c>
      <c r="M508" s="3" t="str">
        <f>IF(AND(SUMIF(Transactions!$C$2:$C$548,C508,Transactions!$E$2:$E$548)&gt;5000,K508&lt;&gt;"East"),"High-Value Merchant Day","Normal")</f>
        <v>High-Value Merchant Day</v>
      </c>
    </row>
    <row r="509">
      <c r="A509" s="2" t="s">
        <v>592</v>
      </c>
      <c r="B509" s="2">
        <v>358.0</v>
      </c>
      <c r="C509" s="2">
        <v>36.0</v>
      </c>
      <c r="D509" s="5">
        <v>46050.208333333336</v>
      </c>
      <c r="E509" s="2">
        <v>999.0</v>
      </c>
      <c r="F509" s="2" t="s">
        <v>96</v>
      </c>
      <c r="G509" s="2" t="s">
        <v>62</v>
      </c>
      <c r="H509" s="2">
        <v>100.0</v>
      </c>
      <c r="I509" s="3" t="str">
        <f>IFERROR(VLOOKUP($C509,Merchants!$A$1:$D$41,2,FALSE),"Merchant not found")</f>
        <v>Merchant_036</v>
      </c>
      <c r="J509" s="3" t="str">
        <f>IFERROR(VLOOKUP($C509,Merchants!$A$1:$D$41,3,FALSE),"Merchant not found")</f>
        <v>ecommerce</v>
      </c>
      <c r="K509" s="3" t="str">
        <f>IFERROR(VLOOKUP($C509,Merchants!$A$1:$D$41,4,FALSE),"Merchant not found")</f>
        <v>East</v>
      </c>
      <c r="L509" s="3">
        <f>IFERROR(HLOOKUP(F509,Fee_Lookup!$B$1:$E$2,2,FALSE),"Fee not found")</f>
        <v>1.8</v>
      </c>
      <c r="M509" s="3" t="str">
        <f>IF(AND(SUMIF(Transactions!$C$2:$C$548,C509,Transactions!$E$2:$E$548)&gt;5000,K509&lt;&gt;"East"),"High-Value Merchant Day","Normal")</f>
        <v>Normal</v>
      </c>
    </row>
    <row r="510">
      <c r="A510" s="2" t="s">
        <v>593</v>
      </c>
      <c r="B510" s="2">
        <v>359.0</v>
      </c>
      <c r="C510" s="2">
        <v>29.0</v>
      </c>
      <c r="D510" s="5">
        <v>46047.916666666664</v>
      </c>
      <c r="E510" s="2">
        <v>2999.0</v>
      </c>
      <c r="F510" s="2" t="s">
        <v>96</v>
      </c>
      <c r="G510" s="2" t="s">
        <v>62</v>
      </c>
      <c r="H510" s="2">
        <v>96.0</v>
      </c>
      <c r="I510" s="3" t="str">
        <f>IFERROR(VLOOKUP($C510,Merchants!$A$1:$D$41,2,FALSE),"Merchant not found")</f>
        <v>Merchant_029</v>
      </c>
      <c r="J510" s="3" t="str">
        <f>IFERROR(VLOOKUP($C510,Merchants!$A$1:$D$41,3,FALSE),"Merchant not found")</f>
        <v>ecommerce</v>
      </c>
      <c r="K510" s="3" t="str">
        <f>IFERROR(VLOOKUP($C510,Merchants!$A$1:$D$41,4,FALSE),"Merchant not found")</f>
        <v>North</v>
      </c>
      <c r="L510" s="3">
        <f>IFERROR(HLOOKUP(F510,Fee_Lookup!$B$1:$E$2,2,FALSE),"Fee not found")</f>
        <v>1.8</v>
      </c>
      <c r="M510" s="3" t="str">
        <f>IF(AND(SUMIF(Transactions!$C$2:$C$548,C510,Transactions!$E$2:$E$548)&gt;5000,K510&lt;&gt;"East"),"High-Value Merchant Day","Normal")</f>
        <v>High-Value Merchant Day</v>
      </c>
    </row>
    <row r="511">
      <c r="A511" s="2" t="s">
        <v>594</v>
      </c>
      <c r="B511" s="2">
        <v>360.0</v>
      </c>
      <c r="C511" s="2">
        <v>32.0</v>
      </c>
      <c r="D511" s="5">
        <v>46035.541666666664</v>
      </c>
      <c r="E511" s="2">
        <v>1999.0</v>
      </c>
      <c r="F511" s="2" t="s">
        <v>96</v>
      </c>
      <c r="G511" s="2" t="s">
        <v>62</v>
      </c>
      <c r="H511" s="2">
        <v>90.0</v>
      </c>
      <c r="I511" s="3" t="str">
        <f>IFERROR(VLOOKUP($C511,Merchants!$A$1:$D$41,2,FALSE),"Merchant not found")</f>
        <v>Merchant_032</v>
      </c>
      <c r="J511" s="3" t="str">
        <f>IFERROR(VLOOKUP($C511,Merchants!$A$1:$D$41,3,FALSE),"Merchant not found")</f>
        <v>grocery</v>
      </c>
      <c r="K511" s="3" t="str">
        <f>IFERROR(VLOOKUP($C511,Merchants!$A$1:$D$41,4,FALSE),"Merchant not found")</f>
        <v>North</v>
      </c>
      <c r="L511" s="3">
        <f>IFERROR(HLOOKUP(F511,Fee_Lookup!$B$1:$E$2,2,FALSE),"Fee not found")</f>
        <v>1.8</v>
      </c>
      <c r="M511" s="3" t="str">
        <f>IF(AND(SUMIF(Transactions!$C$2:$C$548,C511,Transactions!$E$2:$E$548)&gt;5000,K511&lt;&gt;"East"),"High-Value Merchant Day","Normal")</f>
        <v>High-Value Merchant Day</v>
      </c>
    </row>
    <row r="512">
      <c r="A512" s="2" t="s">
        <v>595</v>
      </c>
      <c r="B512" s="2">
        <v>361.0</v>
      </c>
      <c r="C512" s="2">
        <v>10.0</v>
      </c>
      <c r="D512" s="5">
        <v>46042.291666666664</v>
      </c>
      <c r="E512" s="2">
        <v>4999.0</v>
      </c>
      <c r="F512" s="2" t="s">
        <v>96</v>
      </c>
      <c r="G512" s="2" t="s">
        <v>62</v>
      </c>
      <c r="H512" s="2">
        <v>95.0</v>
      </c>
      <c r="I512" s="3" t="str">
        <f>IFERROR(VLOOKUP($C512,Merchants!$A$1:$D$41,2,FALSE),"Merchant not found")</f>
        <v>Merchant_010</v>
      </c>
      <c r="J512" s="3" t="str">
        <f>IFERROR(VLOOKUP($C512,Merchants!$A$1:$D$41,3,FALSE),"Merchant not found")</f>
        <v>grocery</v>
      </c>
      <c r="K512" s="3" t="str">
        <f>IFERROR(VLOOKUP($C512,Merchants!$A$1:$D$41,4,FALSE),"Merchant not found")</f>
        <v>East</v>
      </c>
      <c r="L512" s="3">
        <f>IFERROR(HLOOKUP(F512,Fee_Lookup!$B$1:$E$2,2,FALSE),"Fee not found")</f>
        <v>1.8</v>
      </c>
      <c r="M512" s="3" t="str">
        <f>IF(AND(SUMIF(Transactions!$C$2:$C$548,C512,Transactions!$E$2:$E$548)&gt;5000,K512&lt;&gt;"East"),"High-Value Merchant Day","Normal")</f>
        <v>Normal</v>
      </c>
    </row>
    <row r="513">
      <c r="A513" s="2" t="s">
        <v>596</v>
      </c>
      <c r="B513" s="2">
        <v>362.0</v>
      </c>
      <c r="C513" s="2">
        <v>39.0</v>
      </c>
      <c r="D513" s="5">
        <v>46045.083333333336</v>
      </c>
      <c r="E513" s="2">
        <v>4999.0</v>
      </c>
      <c r="F513" s="2" t="s">
        <v>96</v>
      </c>
      <c r="G513" s="2" t="s">
        <v>62</v>
      </c>
      <c r="H513" s="2">
        <v>88.0</v>
      </c>
      <c r="I513" s="3" t="str">
        <f>IFERROR(VLOOKUP($C513,Merchants!$A$1:$D$41,2,FALSE),"Merchant not found")</f>
        <v>Merchant_039</v>
      </c>
      <c r="J513" s="3" t="str">
        <f>IFERROR(VLOOKUP($C513,Merchants!$A$1:$D$41,3,FALSE),"Merchant not found")</f>
        <v>grocery</v>
      </c>
      <c r="K513" s="3" t="str">
        <f>IFERROR(VLOOKUP($C513,Merchants!$A$1:$D$41,4,FALSE),"Merchant not found")</f>
        <v>South</v>
      </c>
      <c r="L513" s="3">
        <f>IFERROR(HLOOKUP(F513,Fee_Lookup!$B$1:$E$2,2,FALSE),"Fee not found")</f>
        <v>1.8</v>
      </c>
      <c r="M513" s="3" t="str">
        <f>IF(AND(SUMIF(Transactions!$C$2:$C$548,C513,Transactions!$E$2:$E$548)&gt;5000,K513&lt;&gt;"East"),"High-Value Merchant Day","Normal")</f>
        <v>High-Value Merchant Day</v>
      </c>
    </row>
    <row r="514">
      <c r="A514" s="2" t="s">
        <v>597</v>
      </c>
      <c r="B514" s="2">
        <v>363.0</v>
      </c>
      <c r="C514" s="2">
        <v>27.0</v>
      </c>
      <c r="D514" s="5">
        <v>46045.708333333336</v>
      </c>
      <c r="E514" s="2">
        <v>999.0</v>
      </c>
      <c r="F514" s="2" t="s">
        <v>96</v>
      </c>
      <c r="G514" s="2" t="s">
        <v>62</v>
      </c>
      <c r="H514" s="2">
        <v>95.0</v>
      </c>
      <c r="I514" s="3" t="str">
        <f>IFERROR(VLOOKUP($C514,Merchants!$A$1:$D$41,2,FALSE),"Merchant not found")</f>
        <v>Merchant_027</v>
      </c>
      <c r="J514" s="3" t="str">
        <f>IFERROR(VLOOKUP($C514,Merchants!$A$1:$D$41,3,FALSE),"Merchant not found")</f>
        <v>recharge</v>
      </c>
      <c r="K514" s="3" t="str">
        <f>IFERROR(VLOOKUP($C514,Merchants!$A$1:$D$41,4,FALSE),"Merchant not found")</f>
        <v>South</v>
      </c>
      <c r="L514" s="3">
        <f>IFERROR(HLOOKUP(F514,Fee_Lookup!$B$1:$E$2,2,FALSE),"Fee not found")</f>
        <v>1.8</v>
      </c>
      <c r="M514" s="3" t="str">
        <f>IF(AND(SUMIF(Transactions!$C$2:$C$548,C514,Transactions!$E$2:$E$548)&gt;5000,K514&lt;&gt;"East"),"High-Value Merchant Day","Normal")</f>
        <v>High-Value Merchant Day</v>
      </c>
    </row>
    <row r="515">
      <c r="A515" s="2" t="s">
        <v>598</v>
      </c>
      <c r="B515" s="2">
        <v>364.0</v>
      </c>
      <c r="C515" s="2">
        <v>39.0</v>
      </c>
      <c r="D515" s="5">
        <v>46044.916666666664</v>
      </c>
      <c r="E515" s="2">
        <v>999.0</v>
      </c>
      <c r="F515" s="2" t="s">
        <v>96</v>
      </c>
      <c r="G515" s="2" t="s">
        <v>62</v>
      </c>
      <c r="H515" s="2">
        <v>73.0</v>
      </c>
      <c r="I515" s="3" t="str">
        <f>IFERROR(VLOOKUP($C515,Merchants!$A$1:$D$41,2,FALSE),"Merchant not found")</f>
        <v>Merchant_039</v>
      </c>
      <c r="J515" s="3" t="str">
        <f>IFERROR(VLOOKUP($C515,Merchants!$A$1:$D$41,3,FALSE),"Merchant not found")</f>
        <v>grocery</v>
      </c>
      <c r="K515" s="3" t="str">
        <f>IFERROR(VLOOKUP($C515,Merchants!$A$1:$D$41,4,FALSE),"Merchant not found")</f>
        <v>South</v>
      </c>
      <c r="L515" s="3">
        <f>IFERROR(HLOOKUP(F515,Fee_Lookup!$B$1:$E$2,2,FALSE),"Fee not found")</f>
        <v>1.8</v>
      </c>
      <c r="M515" s="3" t="str">
        <f>IF(AND(SUMIF(Transactions!$C$2:$C$548,C515,Transactions!$E$2:$E$548)&gt;5000,K515&lt;&gt;"East"),"High-Value Merchant Day","Normal")</f>
        <v>High-Value Merchant Day</v>
      </c>
    </row>
    <row r="516">
      <c r="A516" s="2" t="s">
        <v>599</v>
      </c>
      <c r="B516" s="2">
        <v>365.0</v>
      </c>
      <c r="C516" s="2">
        <v>23.0</v>
      </c>
      <c r="D516" s="5">
        <v>46040.875</v>
      </c>
      <c r="E516" s="2">
        <v>1999.0</v>
      </c>
      <c r="F516" s="2" t="s">
        <v>96</v>
      </c>
      <c r="G516" s="2" t="s">
        <v>62</v>
      </c>
      <c r="H516" s="2">
        <v>90.0</v>
      </c>
      <c r="I516" s="3" t="str">
        <f>IFERROR(VLOOKUP($C516,Merchants!$A$1:$D$41,2,FALSE),"Merchant not found")</f>
        <v>Merchant_023</v>
      </c>
      <c r="J516" s="3" t="str">
        <f>IFERROR(VLOOKUP($C516,Merchants!$A$1:$D$41,3,FALSE),"Merchant not found")</f>
        <v>travel</v>
      </c>
      <c r="K516" s="3" t="str">
        <f>IFERROR(VLOOKUP($C516,Merchants!$A$1:$D$41,4,FALSE),"Merchant not found")</f>
        <v>South</v>
      </c>
      <c r="L516" s="3">
        <f>IFERROR(HLOOKUP(F516,Fee_Lookup!$B$1:$E$2,2,FALSE),"Fee not found")</f>
        <v>1.8</v>
      </c>
      <c r="M516" s="3" t="str">
        <f>IF(AND(SUMIF(Transactions!$C$2:$C$548,C516,Transactions!$E$2:$E$548)&gt;5000,K516&lt;&gt;"East"),"High-Value Merchant Day","Normal")</f>
        <v>Normal</v>
      </c>
    </row>
    <row r="517">
      <c r="A517" s="2" t="s">
        <v>600</v>
      </c>
      <c r="B517" s="2">
        <v>314.0</v>
      </c>
      <c r="C517" s="2">
        <v>26.0</v>
      </c>
      <c r="D517" s="5">
        <v>46024.75</v>
      </c>
      <c r="E517" s="2">
        <v>399.0</v>
      </c>
      <c r="F517" s="2" t="s">
        <v>96</v>
      </c>
      <c r="G517" s="2" t="s">
        <v>64</v>
      </c>
      <c r="H517" s="2">
        <v>87.0</v>
      </c>
      <c r="I517" s="3" t="str">
        <f>IFERROR(VLOOKUP($C517,Merchants!$A$1:$D$41,2,FALSE),"Merchant not found")</f>
        <v>Merchant_026</v>
      </c>
      <c r="J517" s="3" t="str">
        <f>IFERROR(VLOOKUP($C517,Merchants!$A$1:$D$41,3,FALSE),"Merchant not found")</f>
        <v>entertainment</v>
      </c>
      <c r="K517" s="3" t="str">
        <f>IFERROR(VLOOKUP($C517,Merchants!$A$1:$D$41,4,FALSE),"Merchant not found")</f>
        <v>West</v>
      </c>
      <c r="L517" s="3">
        <f>IFERROR(HLOOKUP(F517,Fee_Lookup!$B$1:$E$2,2,FALSE),"Fee not found")</f>
        <v>1.8</v>
      </c>
      <c r="M517" s="3" t="str">
        <f>IF(AND(SUMIF(Transactions!$C$2:$C$548,C517,Transactions!$E$2:$E$548)&gt;5000,K517&lt;&gt;"East"),"High-Value Merchant Day","Normal")</f>
        <v>High-Value Merchant Day</v>
      </c>
    </row>
    <row r="518">
      <c r="A518" s="2" t="s">
        <v>601</v>
      </c>
      <c r="B518" s="2">
        <v>314.0</v>
      </c>
      <c r="C518" s="2">
        <v>7.0</v>
      </c>
      <c r="D518" s="5">
        <v>46024.75069444445</v>
      </c>
      <c r="E518" s="2">
        <v>299.0</v>
      </c>
      <c r="F518" s="2" t="s">
        <v>96</v>
      </c>
      <c r="G518" s="2" t="s">
        <v>64</v>
      </c>
      <c r="H518" s="2">
        <v>66.0</v>
      </c>
      <c r="I518" s="3" t="str">
        <f>IFERROR(VLOOKUP($C518,Merchants!$A$1:$D$41,2,FALSE),"Merchant not found")</f>
        <v>Merchant_007</v>
      </c>
      <c r="J518" s="3" t="str">
        <f>IFERROR(VLOOKUP($C518,Merchants!$A$1:$D$41,3,FALSE),"Merchant not found")</f>
        <v>bill_payment</v>
      </c>
      <c r="K518" s="3" t="str">
        <f>IFERROR(VLOOKUP($C518,Merchants!$A$1:$D$41,4,FALSE),"Merchant not found")</f>
        <v>South</v>
      </c>
      <c r="L518" s="3">
        <f>IFERROR(HLOOKUP(F518,Fee_Lookup!$B$1:$E$2,2,FALSE),"Fee not found")</f>
        <v>1.8</v>
      </c>
      <c r="M518" s="3" t="str">
        <f>IF(AND(SUMIF(Transactions!$C$2:$C$548,C518,Transactions!$E$2:$E$548)&gt;5000,K518&lt;&gt;"East"),"High-Value Merchant Day","Normal")</f>
        <v>High-Value Merchant Day</v>
      </c>
    </row>
    <row r="519">
      <c r="A519" s="2" t="s">
        <v>602</v>
      </c>
      <c r="B519" s="2">
        <v>314.0</v>
      </c>
      <c r="C519" s="2">
        <v>17.0</v>
      </c>
      <c r="D519" s="5">
        <v>46024.751388888886</v>
      </c>
      <c r="E519" s="2">
        <v>299.0</v>
      </c>
      <c r="F519" s="2" t="s">
        <v>96</v>
      </c>
      <c r="G519" s="2" t="s">
        <v>64</v>
      </c>
      <c r="H519" s="2">
        <v>92.0</v>
      </c>
      <c r="I519" s="3" t="str">
        <f>IFERROR(VLOOKUP($C519,Merchants!$A$1:$D$41,2,FALSE),"Merchant not found")</f>
        <v>Merchant_017</v>
      </c>
      <c r="J519" s="3" t="str">
        <f>IFERROR(VLOOKUP($C519,Merchants!$A$1:$D$41,3,FALSE),"Merchant not found")</f>
        <v>bill_payment</v>
      </c>
      <c r="K519" s="3" t="str">
        <f>IFERROR(VLOOKUP($C519,Merchants!$A$1:$D$41,4,FALSE),"Merchant not found")</f>
        <v>East</v>
      </c>
      <c r="L519" s="3">
        <f>IFERROR(HLOOKUP(F519,Fee_Lookup!$B$1:$E$2,2,FALSE),"Fee not found")</f>
        <v>1.8</v>
      </c>
      <c r="M519" s="3" t="str">
        <f>IF(AND(SUMIF(Transactions!$C$2:$C$548,C519,Transactions!$E$2:$E$548)&gt;5000,K519&lt;&gt;"East"),"High-Value Merchant Day","Normal")</f>
        <v>Normal</v>
      </c>
    </row>
    <row r="520">
      <c r="A520" s="2" t="s">
        <v>603</v>
      </c>
      <c r="B520" s="2">
        <v>314.0</v>
      </c>
      <c r="C520" s="2">
        <v>34.0</v>
      </c>
      <c r="D520" s="5">
        <v>46024.75208333333</v>
      </c>
      <c r="E520" s="2">
        <v>499.0</v>
      </c>
      <c r="F520" s="2" t="s">
        <v>96</v>
      </c>
      <c r="G520" s="2" t="s">
        <v>36</v>
      </c>
      <c r="H520" s="2">
        <v>74.0</v>
      </c>
      <c r="I520" s="3" t="str">
        <f>IFERROR(VLOOKUP($C520,Merchants!$A$1:$D$41,2,FALSE),"Merchant not found")</f>
        <v>Merchant_034</v>
      </c>
      <c r="J520" s="3" t="str">
        <f>IFERROR(VLOOKUP($C520,Merchants!$A$1:$D$41,3,FALSE),"Merchant not found")</f>
        <v>recharge</v>
      </c>
      <c r="K520" s="3" t="str">
        <f>IFERROR(VLOOKUP($C520,Merchants!$A$1:$D$41,4,FALSE),"Merchant not found")</f>
        <v>West</v>
      </c>
      <c r="L520" s="3">
        <f>IFERROR(HLOOKUP(F520,Fee_Lookup!$B$1:$E$2,2,FALSE),"Fee not found")</f>
        <v>1.8</v>
      </c>
      <c r="M520" s="3" t="str">
        <f>IF(AND(SUMIF(Transactions!$C$2:$C$548,C520,Transactions!$E$2:$E$548)&gt;5000,K520&lt;&gt;"East"),"High-Value Merchant Day","Normal")</f>
        <v>High-Value Merchant Day</v>
      </c>
    </row>
    <row r="521">
      <c r="A521" s="2" t="s">
        <v>604</v>
      </c>
      <c r="B521" s="2">
        <v>229.0</v>
      </c>
      <c r="C521" s="2">
        <v>30.0</v>
      </c>
      <c r="D521" s="5">
        <v>46034.5</v>
      </c>
      <c r="E521" s="2">
        <v>499.0</v>
      </c>
      <c r="F521" s="2" t="s">
        <v>96</v>
      </c>
      <c r="G521" s="2" t="s">
        <v>64</v>
      </c>
      <c r="H521" s="2">
        <v>92.0</v>
      </c>
      <c r="I521" s="3" t="str">
        <f>IFERROR(VLOOKUP($C521,Merchants!$A$1:$D$41,2,FALSE),"Merchant not found")</f>
        <v>Merchant_030</v>
      </c>
      <c r="J521" s="3" t="str">
        <f>IFERROR(VLOOKUP($C521,Merchants!$A$1:$D$41,3,FALSE),"Merchant not found")</f>
        <v>travel</v>
      </c>
      <c r="K521" s="3" t="str">
        <f>IFERROR(VLOOKUP($C521,Merchants!$A$1:$D$41,4,FALSE),"Merchant not found")</f>
        <v>West</v>
      </c>
      <c r="L521" s="3">
        <f>IFERROR(HLOOKUP(F521,Fee_Lookup!$B$1:$E$2,2,FALSE),"Fee not found")</f>
        <v>1.8</v>
      </c>
      <c r="M521" s="3" t="str">
        <f>IF(AND(SUMIF(Transactions!$C$2:$C$548,C521,Transactions!$E$2:$E$548)&gt;5000,K521&lt;&gt;"East"),"High-Value Merchant Day","Normal")</f>
        <v>High-Value Merchant Day</v>
      </c>
    </row>
    <row r="522">
      <c r="A522" s="2" t="s">
        <v>605</v>
      </c>
      <c r="B522" s="2">
        <v>229.0</v>
      </c>
      <c r="C522" s="2">
        <v>10.0</v>
      </c>
      <c r="D522" s="5">
        <v>46034.50069444445</v>
      </c>
      <c r="E522" s="2">
        <v>399.0</v>
      </c>
      <c r="F522" s="2" t="s">
        <v>96</v>
      </c>
      <c r="G522" s="2" t="s">
        <v>64</v>
      </c>
      <c r="H522" s="2">
        <v>61.0</v>
      </c>
      <c r="I522" s="3" t="str">
        <f>IFERROR(VLOOKUP($C522,Merchants!$A$1:$D$41,2,FALSE),"Merchant not found")</f>
        <v>Merchant_010</v>
      </c>
      <c r="J522" s="3" t="str">
        <f>IFERROR(VLOOKUP($C522,Merchants!$A$1:$D$41,3,FALSE),"Merchant not found")</f>
        <v>grocery</v>
      </c>
      <c r="K522" s="3" t="str">
        <f>IFERROR(VLOOKUP($C522,Merchants!$A$1:$D$41,4,FALSE),"Merchant not found")</f>
        <v>East</v>
      </c>
      <c r="L522" s="3">
        <f>IFERROR(HLOOKUP(F522,Fee_Lookup!$B$1:$E$2,2,FALSE),"Fee not found")</f>
        <v>1.8</v>
      </c>
      <c r="M522" s="3" t="str">
        <f>IF(AND(SUMIF(Transactions!$C$2:$C$548,C522,Transactions!$E$2:$E$548)&gt;5000,K522&lt;&gt;"East"),"High-Value Merchant Day","Normal")</f>
        <v>Normal</v>
      </c>
    </row>
    <row r="523">
      <c r="A523" s="2" t="s">
        <v>606</v>
      </c>
      <c r="B523" s="2">
        <v>229.0</v>
      </c>
      <c r="C523" s="2">
        <v>31.0</v>
      </c>
      <c r="D523" s="5">
        <v>46034.501388888886</v>
      </c>
      <c r="E523" s="2">
        <v>299.0</v>
      </c>
      <c r="F523" s="2" t="s">
        <v>96</v>
      </c>
      <c r="G523" s="2" t="s">
        <v>64</v>
      </c>
      <c r="H523" s="2">
        <v>78.0</v>
      </c>
      <c r="I523" s="3" t="str">
        <f>IFERROR(VLOOKUP($C523,Merchants!$A$1:$D$41,2,FALSE),"Merchant not found")</f>
        <v>Merchant_031</v>
      </c>
      <c r="J523" s="3" t="str">
        <f>IFERROR(VLOOKUP($C523,Merchants!$A$1:$D$41,3,FALSE),"Merchant not found")</f>
        <v>bill_payment</v>
      </c>
      <c r="K523" s="3" t="str">
        <f>IFERROR(VLOOKUP($C523,Merchants!$A$1:$D$41,4,FALSE),"Merchant not found")</f>
        <v>South</v>
      </c>
      <c r="L523" s="3">
        <f>IFERROR(HLOOKUP(F523,Fee_Lookup!$B$1:$E$2,2,FALSE),"Fee not found")</f>
        <v>1.8</v>
      </c>
      <c r="M523" s="3" t="str">
        <f>IF(AND(SUMIF(Transactions!$C$2:$C$548,C523,Transactions!$E$2:$E$548)&gt;5000,K523&lt;&gt;"East"),"High-Value Merchant Day","Normal")</f>
        <v>Normal</v>
      </c>
    </row>
    <row r="524">
      <c r="A524" s="2" t="s">
        <v>607</v>
      </c>
      <c r="B524" s="2">
        <v>229.0</v>
      </c>
      <c r="C524" s="2">
        <v>27.0</v>
      </c>
      <c r="D524" s="5">
        <v>46034.50208333333</v>
      </c>
      <c r="E524" s="2">
        <v>299.0</v>
      </c>
      <c r="F524" s="2" t="s">
        <v>96</v>
      </c>
      <c r="G524" s="2" t="s">
        <v>36</v>
      </c>
      <c r="H524" s="2">
        <v>67.0</v>
      </c>
      <c r="I524" s="3" t="str">
        <f>IFERROR(VLOOKUP($C524,Merchants!$A$1:$D$41,2,FALSE),"Merchant not found")</f>
        <v>Merchant_027</v>
      </c>
      <c r="J524" s="3" t="str">
        <f>IFERROR(VLOOKUP($C524,Merchants!$A$1:$D$41,3,FALSE),"Merchant not found")</f>
        <v>recharge</v>
      </c>
      <c r="K524" s="3" t="str">
        <f>IFERROR(VLOOKUP($C524,Merchants!$A$1:$D$41,4,FALSE),"Merchant not found")</f>
        <v>South</v>
      </c>
      <c r="L524" s="3">
        <f>IFERROR(HLOOKUP(F524,Fee_Lookup!$B$1:$E$2,2,FALSE),"Fee not found")</f>
        <v>1.8</v>
      </c>
      <c r="M524" s="3" t="str">
        <f>IF(AND(SUMIF(Transactions!$C$2:$C$548,C524,Transactions!$E$2:$E$548)&gt;5000,K524&lt;&gt;"East"),"High-Value Merchant Day","Normal")</f>
        <v>High-Value Merchant Day</v>
      </c>
    </row>
    <row r="525">
      <c r="A525" s="2" t="s">
        <v>608</v>
      </c>
      <c r="B525" s="2">
        <v>73.0</v>
      </c>
      <c r="C525" s="2">
        <v>22.0</v>
      </c>
      <c r="D525" s="5">
        <v>46034.375</v>
      </c>
      <c r="E525" s="2">
        <v>399.0</v>
      </c>
      <c r="F525" s="2" t="s">
        <v>96</v>
      </c>
      <c r="G525" s="2" t="s">
        <v>64</v>
      </c>
      <c r="H525" s="2">
        <v>73.0</v>
      </c>
      <c r="I525" s="3" t="str">
        <f>IFERROR(VLOOKUP($C525,Merchants!$A$1:$D$41,2,FALSE),"Merchant not found")</f>
        <v>Merchant_022</v>
      </c>
      <c r="J525" s="3" t="str">
        <f>IFERROR(VLOOKUP($C525,Merchants!$A$1:$D$41,3,FALSE),"Merchant not found")</f>
        <v>ecommerce</v>
      </c>
      <c r="K525" s="3" t="str">
        <f>IFERROR(VLOOKUP($C525,Merchants!$A$1:$D$41,4,FALSE),"Merchant not found")</f>
        <v>West</v>
      </c>
      <c r="L525" s="3">
        <f>IFERROR(HLOOKUP(F525,Fee_Lookup!$B$1:$E$2,2,FALSE),"Fee not found")</f>
        <v>1.8</v>
      </c>
      <c r="M525" s="3" t="str">
        <f>IF(AND(SUMIF(Transactions!$C$2:$C$548,C525,Transactions!$E$2:$E$548)&gt;5000,K525&lt;&gt;"East"),"High-Value Merchant Day","Normal")</f>
        <v>High-Value Merchant Day</v>
      </c>
    </row>
    <row r="526">
      <c r="A526" s="2" t="s">
        <v>609</v>
      </c>
      <c r="B526" s="2">
        <v>73.0</v>
      </c>
      <c r="C526" s="2">
        <v>34.0</v>
      </c>
      <c r="D526" s="5">
        <v>46034.37569444445</v>
      </c>
      <c r="E526" s="2">
        <v>399.0</v>
      </c>
      <c r="F526" s="2" t="s">
        <v>96</v>
      </c>
      <c r="G526" s="2" t="s">
        <v>64</v>
      </c>
      <c r="H526" s="2">
        <v>82.0</v>
      </c>
      <c r="I526" s="3" t="str">
        <f>IFERROR(VLOOKUP($C526,Merchants!$A$1:$D$41,2,FALSE),"Merchant not found")</f>
        <v>Merchant_034</v>
      </c>
      <c r="J526" s="3" t="str">
        <f>IFERROR(VLOOKUP($C526,Merchants!$A$1:$D$41,3,FALSE),"Merchant not found")</f>
        <v>recharge</v>
      </c>
      <c r="K526" s="3" t="str">
        <f>IFERROR(VLOOKUP($C526,Merchants!$A$1:$D$41,4,FALSE),"Merchant not found")</f>
        <v>West</v>
      </c>
      <c r="L526" s="3">
        <f>IFERROR(HLOOKUP(F526,Fee_Lookup!$B$1:$E$2,2,FALSE),"Fee not found")</f>
        <v>1.8</v>
      </c>
      <c r="M526" s="3" t="str">
        <f>IF(AND(SUMIF(Transactions!$C$2:$C$548,C526,Transactions!$E$2:$E$548)&gt;5000,K526&lt;&gt;"East"),"High-Value Merchant Day","Normal")</f>
        <v>High-Value Merchant Day</v>
      </c>
    </row>
    <row r="527">
      <c r="A527" s="2" t="s">
        <v>610</v>
      </c>
      <c r="B527" s="2">
        <v>73.0</v>
      </c>
      <c r="C527" s="2">
        <v>31.0</v>
      </c>
      <c r="D527" s="5">
        <v>46034.376388888886</v>
      </c>
      <c r="E527" s="2">
        <v>299.0</v>
      </c>
      <c r="F527" s="2" t="s">
        <v>96</v>
      </c>
      <c r="G527" s="2" t="s">
        <v>64</v>
      </c>
      <c r="H527" s="2">
        <v>88.0</v>
      </c>
      <c r="I527" s="3" t="str">
        <f>IFERROR(VLOOKUP($C527,Merchants!$A$1:$D$41,2,FALSE),"Merchant not found")</f>
        <v>Merchant_031</v>
      </c>
      <c r="J527" s="3" t="str">
        <f>IFERROR(VLOOKUP($C527,Merchants!$A$1:$D$41,3,FALSE),"Merchant not found")</f>
        <v>bill_payment</v>
      </c>
      <c r="K527" s="3" t="str">
        <f>IFERROR(VLOOKUP($C527,Merchants!$A$1:$D$41,4,FALSE),"Merchant not found")</f>
        <v>South</v>
      </c>
      <c r="L527" s="3">
        <f>IFERROR(HLOOKUP(F527,Fee_Lookup!$B$1:$E$2,2,FALSE),"Fee not found")</f>
        <v>1.8</v>
      </c>
      <c r="M527" s="3" t="str">
        <f>IF(AND(SUMIF(Transactions!$C$2:$C$548,C527,Transactions!$E$2:$E$548)&gt;5000,K527&lt;&gt;"East"),"High-Value Merchant Day","Normal")</f>
        <v>Normal</v>
      </c>
    </row>
    <row r="528">
      <c r="A528" s="2" t="s">
        <v>611</v>
      </c>
      <c r="B528" s="2">
        <v>73.0</v>
      </c>
      <c r="C528" s="2">
        <v>29.0</v>
      </c>
      <c r="D528" s="5">
        <v>46034.37708333333</v>
      </c>
      <c r="E528" s="2">
        <v>399.0</v>
      </c>
      <c r="F528" s="2" t="s">
        <v>96</v>
      </c>
      <c r="G528" s="2" t="s">
        <v>36</v>
      </c>
      <c r="H528" s="2">
        <v>64.0</v>
      </c>
      <c r="I528" s="3" t="str">
        <f>IFERROR(VLOOKUP($C528,Merchants!$A$1:$D$41,2,FALSE),"Merchant not found")</f>
        <v>Merchant_029</v>
      </c>
      <c r="J528" s="3" t="str">
        <f>IFERROR(VLOOKUP($C528,Merchants!$A$1:$D$41,3,FALSE),"Merchant not found")</f>
        <v>ecommerce</v>
      </c>
      <c r="K528" s="3" t="str">
        <f>IFERROR(VLOOKUP($C528,Merchants!$A$1:$D$41,4,FALSE),"Merchant not found")</f>
        <v>North</v>
      </c>
      <c r="L528" s="3">
        <f>IFERROR(HLOOKUP(F528,Fee_Lookup!$B$1:$E$2,2,FALSE),"Fee not found")</f>
        <v>1.8</v>
      </c>
      <c r="M528" s="3" t="str">
        <f>IF(AND(SUMIF(Transactions!$C$2:$C$548,C528,Transactions!$E$2:$E$548)&gt;5000,K528&lt;&gt;"East"),"High-Value Merchant Day","Normal")</f>
        <v>High-Value Merchant Day</v>
      </c>
    </row>
    <row r="529">
      <c r="A529" s="2" t="s">
        <v>612</v>
      </c>
      <c r="B529" s="2">
        <v>154.0</v>
      </c>
      <c r="C529" s="2">
        <v>8.0</v>
      </c>
      <c r="D529" s="5">
        <v>46024.916666666664</v>
      </c>
      <c r="E529" s="2">
        <v>299.0</v>
      </c>
      <c r="F529" s="2" t="s">
        <v>96</v>
      </c>
      <c r="G529" s="2" t="s">
        <v>64</v>
      </c>
      <c r="H529" s="2">
        <v>81.0</v>
      </c>
      <c r="I529" s="3" t="str">
        <f>IFERROR(VLOOKUP($C529,Merchants!$A$1:$D$41,2,FALSE),"Merchant not found")</f>
        <v>Merchant_008</v>
      </c>
      <c r="J529" s="3" t="str">
        <f>IFERROR(VLOOKUP($C529,Merchants!$A$1:$D$41,3,FALSE),"Merchant not found")</f>
        <v>travel</v>
      </c>
      <c r="K529" s="3" t="str">
        <f>IFERROR(VLOOKUP($C529,Merchants!$A$1:$D$41,4,FALSE),"Merchant not found")</f>
        <v>North</v>
      </c>
      <c r="L529" s="3">
        <f>IFERROR(HLOOKUP(F529,Fee_Lookup!$B$1:$E$2,2,FALSE),"Fee not found")</f>
        <v>1.8</v>
      </c>
      <c r="M529" s="3" t="str">
        <f>IF(AND(SUMIF(Transactions!$C$2:$C$548,C529,Transactions!$E$2:$E$548)&gt;5000,K529&lt;&gt;"East"),"High-Value Merchant Day","Normal")</f>
        <v>High-Value Merchant Day</v>
      </c>
    </row>
    <row r="530">
      <c r="A530" s="2" t="s">
        <v>613</v>
      </c>
      <c r="B530" s="2">
        <v>154.0</v>
      </c>
      <c r="C530" s="2">
        <v>7.0</v>
      </c>
      <c r="D530" s="5">
        <v>46024.91736111111</v>
      </c>
      <c r="E530" s="2">
        <v>499.0</v>
      </c>
      <c r="F530" s="2" t="s">
        <v>96</v>
      </c>
      <c r="G530" s="2" t="s">
        <v>64</v>
      </c>
      <c r="H530" s="2">
        <v>70.0</v>
      </c>
      <c r="I530" s="3" t="str">
        <f>IFERROR(VLOOKUP($C530,Merchants!$A$1:$D$41,2,FALSE),"Merchant not found")</f>
        <v>Merchant_007</v>
      </c>
      <c r="J530" s="3" t="str">
        <f>IFERROR(VLOOKUP($C530,Merchants!$A$1:$D$41,3,FALSE),"Merchant not found")</f>
        <v>bill_payment</v>
      </c>
      <c r="K530" s="3" t="str">
        <f>IFERROR(VLOOKUP($C530,Merchants!$A$1:$D$41,4,FALSE),"Merchant not found")</f>
        <v>South</v>
      </c>
      <c r="L530" s="3">
        <f>IFERROR(HLOOKUP(F530,Fee_Lookup!$B$1:$E$2,2,FALSE),"Fee not found")</f>
        <v>1.8</v>
      </c>
      <c r="M530" s="3" t="str">
        <f>IF(AND(SUMIF(Transactions!$C$2:$C$548,C530,Transactions!$E$2:$E$548)&gt;5000,K530&lt;&gt;"East"),"High-Value Merchant Day","Normal")</f>
        <v>High-Value Merchant Day</v>
      </c>
    </row>
    <row r="531">
      <c r="A531" s="2" t="s">
        <v>614</v>
      </c>
      <c r="B531" s="2">
        <v>154.0</v>
      </c>
      <c r="C531" s="2">
        <v>16.0</v>
      </c>
      <c r="D531" s="5">
        <v>46024.91805555556</v>
      </c>
      <c r="E531" s="2">
        <v>499.0</v>
      </c>
      <c r="F531" s="2" t="s">
        <v>96</v>
      </c>
      <c r="G531" s="2" t="s">
        <v>64</v>
      </c>
      <c r="H531" s="2">
        <v>71.0</v>
      </c>
      <c r="I531" s="3" t="str">
        <f>IFERROR(VLOOKUP($C531,Merchants!$A$1:$D$41,2,FALSE),"Merchant not found")</f>
        <v>Merchant_016</v>
      </c>
      <c r="J531" s="3" t="str">
        <f>IFERROR(VLOOKUP($C531,Merchants!$A$1:$D$41,3,FALSE),"Merchant not found")</f>
        <v>entertainment</v>
      </c>
      <c r="K531" s="3" t="str">
        <f>IFERROR(VLOOKUP($C531,Merchants!$A$1:$D$41,4,FALSE),"Merchant not found")</f>
        <v>North</v>
      </c>
      <c r="L531" s="3">
        <f>IFERROR(HLOOKUP(F531,Fee_Lookup!$B$1:$E$2,2,FALSE),"Fee not found")</f>
        <v>1.8</v>
      </c>
      <c r="M531" s="3" t="str">
        <f>IF(AND(SUMIF(Transactions!$C$2:$C$548,C531,Transactions!$E$2:$E$548)&gt;5000,K531&lt;&gt;"East"),"High-Value Merchant Day","Normal")</f>
        <v>High-Value Merchant Day</v>
      </c>
    </row>
    <row r="532">
      <c r="A532" s="2" t="s">
        <v>615</v>
      </c>
      <c r="B532" s="2">
        <v>154.0</v>
      </c>
      <c r="C532" s="2">
        <v>36.0</v>
      </c>
      <c r="D532" s="5">
        <v>46024.91875</v>
      </c>
      <c r="E532" s="2">
        <v>299.0</v>
      </c>
      <c r="F532" s="2" t="s">
        <v>96</v>
      </c>
      <c r="G532" s="2" t="s">
        <v>36</v>
      </c>
      <c r="H532" s="2">
        <v>81.0</v>
      </c>
      <c r="I532" s="3" t="str">
        <f>IFERROR(VLOOKUP($C532,Merchants!$A$1:$D$41,2,FALSE),"Merchant not found")</f>
        <v>Merchant_036</v>
      </c>
      <c r="J532" s="3" t="str">
        <f>IFERROR(VLOOKUP($C532,Merchants!$A$1:$D$41,3,FALSE),"Merchant not found")</f>
        <v>ecommerce</v>
      </c>
      <c r="K532" s="3" t="str">
        <f>IFERROR(VLOOKUP($C532,Merchants!$A$1:$D$41,4,FALSE),"Merchant not found")</f>
        <v>East</v>
      </c>
      <c r="L532" s="3">
        <f>IFERROR(HLOOKUP(F532,Fee_Lookup!$B$1:$E$2,2,FALSE),"Fee not found")</f>
        <v>1.8</v>
      </c>
      <c r="M532" s="3" t="str">
        <f>IF(AND(SUMIF(Transactions!$C$2:$C$548,C532,Transactions!$E$2:$E$548)&gt;5000,K532&lt;&gt;"East"),"High-Value Merchant Day","Normal")</f>
        <v>Normal</v>
      </c>
    </row>
    <row r="533">
      <c r="A533" s="2" t="s">
        <v>616</v>
      </c>
      <c r="B533" s="2">
        <v>287.0</v>
      </c>
      <c r="C533" s="2">
        <v>15.0</v>
      </c>
      <c r="D533" s="5">
        <v>46036.583333333336</v>
      </c>
      <c r="E533" s="2">
        <v>399.0</v>
      </c>
      <c r="F533" s="2" t="s">
        <v>96</v>
      </c>
      <c r="G533" s="2" t="s">
        <v>64</v>
      </c>
      <c r="H533" s="2">
        <v>71.0</v>
      </c>
      <c r="I533" s="3" t="str">
        <f>IFERROR(VLOOKUP($C533,Merchants!$A$1:$D$41,2,FALSE),"Merchant not found")</f>
        <v>Merchant_015</v>
      </c>
      <c r="J533" s="3" t="str">
        <f>IFERROR(VLOOKUP($C533,Merchants!$A$1:$D$41,3,FALSE),"Merchant not found")</f>
        <v>travel</v>
      </c>
      <c r="K533" s="3" t="str">
        <f>IFERROR(VLOOKUP($C533,Merchants!$A$1:$D$41,4,FALSE),"Merchant not found")</f>
        <v>West</v>
      </c>
      <c r="L533" s="3">
        <f>IFERROR(HLOOKUP(F533,Fee_Lookup!$B$1:$E$2,2,FALSE),"Fee not found")</f>
        <v>1.8</v>
      </c>
      <c r="M533" s="3" t="str">
        <f>IF(AND(SUMIF(Transactions!$C$2:$C$548,C533,Transactions!$E$2:$E$548)&gt;5000,K533&lt;&gt;"East"),"High-Value Merchant Day","Normal")</f>
        <v>High-Value Merchant Day</v>
      </c>
    </row>
    <row r="534">
      <c r="A534" s="2" t="s">
        <v>617</v>
      </c>
      <c r="B534" s="2">
        <v>287.0</v>
      </c>
      <c r="C534" s="2">
        <v>12.0</v>
      </c>
      <c r="D534" s="5">
        <v>46036.584027777775</v>
      </c>
      <c r="E534" s="2">
        <v>499.0</v>
      </c>
      <c r="F534" s="2" t="s">
        <v>96</v>
      </c>
      <c r="G534" s="2" t="s">
        <v>64</v>
      </c>
      <c r="H534" s="2">
        <v>87.0</v>
      </c>
      <c r="I534" s="3" t="str">
        <f>IFERROR(VLOOKUP($C534,Merchants!$A$1:$D$41,2,FALSE),"Merchant not found")</f>
        <v>Merchant_012</v>
      </c>
      <c r="J534" s="3" t="str">
        <f>IFERROR(VLOOKUP($C534,Merchants!$A$1:$D$41,3,FALSE),"Merchant not found")</f>
        <v>food_delivery</v>
      </c>
      <c r="K534" s="3" t="str">
        <f>IFERROR(VLOOKUP($C534,Merchants!$A$1:$D$41,4,FALSE),"Merchant not found")</f>
        <v>South</v>
      </c>
      <c r="L534" s="3">
        <f>IFERROR(HLOOKUP(F534,Fee_Lookup!$B$1:$E$2,2,FALSE),"Fee not found")</f>
        <v>1.8</v>
      </c>
      <c r="M534" s="3" t="str">
        <f>IF(AND(SUMIF(Transactions!$C$2:$C$548,C534,Transactions!$E$2:$E$548)&gt;5000,K534&lt;&gt;"East"),"High-Value Merchant Day","Normal")</f>
        <v>High-Value Merchant Day</v>
      </c>
    </row>
    <row r="535">
      <c r="A535" s="2" t="s">
        <v>618</v>
      </c>
      <c r="B535" s="2">
        <v>287.0</v>
      </c>
      <c r="C535" s="2">
        <v>26.0</v>
      </c>
      <c r="D535" s="5">
        <v>46036.58472222222</v>
      </c>
      <c r="E535" s="2">
        <v>299.0</v>
      </c>
      <c r="F535" s="2" t="s">
        <v>96</v>
      </c>
      <c r="G535" s="2" t="s">
        <v>64</v>
      </c>
      <c r="H535" s="2">
        <v>72.0</v>
      </c>
      <c r="I535" s="3" t="str">
        <f>IFERROR(VLOOKUP($C535,Merchants!$A$1:$D$41,2,FALSE),"Merchant not found")</f>
        <v>Merchant_026</v>
      </c>
      <c r="J535" s="3" t="str">
        <f>IFERROR(VLOOKUP($C535,Merchants!$A$1:$D$41,3,FALSE),"Merchant not found")</f>
        <v>entertainment</v>
      </c>
      <c r="K535" s="3" t="str">
        <f>IFERROR(VLOOKUP($C535,Merchants!$A$1:$D$41,4,FALSE),"Merchant not found")</f>
        <v>West</v>
      </c>
      <c r="L535" s="3">
        <f>IFERROR(HLOOKUP(F535,Fee_Lookup!$B$1:$E$2,2,FALSE),"Fee not found")</f>
        <v>1.8</v>
      </c>
      <c r="M535" s="3" t="str">
        <f>IF(AND(SUMIF(Transactions!$C$2:$C$548,C535,Transactions!$E$2:$E$548)&gt;5000,K535&lt;&gt;"East"),"High-Value Merchant Day","Normal")</f>
        <v>High-Value Merchant Day</v>
      </c>
    </row>
    <row r="536">
      <c r="A536" s="2" t="s">
        <v>619</v>
      </c>
      <c r="B536" s="2">
        <v>287.0</v>
      </c>
      <c r="C536" s="2">
        <v>29.0</v>
      </c>
      <c r="D536" s="5">
        <v>46036.58541666667</v>
      </c>
      <c r="E536" s="2">
        <v>499.0</v>
      </c>
      <c r="F536" s="2" t="s">
        <v>96</v>
      </c>
      <c r="G536" s="2" t="s">
        <v>36</v>
      </c>
      <c r="H536" s="2">
        <v>87.0</v>
      </c>
      <c r="I536" s="3" t="str">
        <f>IFERROR(VLOOKUP($C536,Merchants!$A$1:$D$41,2,FALSE),"Merchant not found")</f>
        <v>Merchant_029</v>
      </c>
      <c r="J536" s="3" t="str">
        <f>IFERROR(VLOOKUP($C536,Merchants!$A$1:$D$41,3,FALSE),"Merchant not found")</f>
        <v>ecommerce</v>
      </c>
      <c r="K536" s="3" t="str">
        <f>IFERROR(VLOOKUP($C536,Merchants!$A$1:$D$41,4,FALSE),"Merchant not found")</f>
        <v>North</v>
      </c>
      <c r="L536" s="3">
        <f>IFERROR(HLOOKUP(F536,Fee_Lookup!$B$1:$E$2,2,FALSE),"Fee not found")</f>
        <v>1.8</v>
      </c>
      <c r="M536" s="3" t="str">
        <f>IF(AND(SUMIF(Transactions!$C$2:$C$548,C536,Transactions!$E$2:$E$548)&gt;5000,K536&lt;&gt;"East"),"High-Value Merchant Day","Normal")</f>
        <v>High-Value Merchant Day</v>
      </c>
    </row>
    <row r="537">
      <c r="A537" s="2" t="s">
        <v>620</v>
      </c>
      <c r="B537" s="2">
        <v>200.0</v>
      </c>
      <c r="C537" s="2">
        <v>14.0</v>
      </c>
      <c r="D537" s="5">
        <v>46023.916666666664</v>
      </c>
      <c r="E537" s="2">
        <v>299.0</v>
      </c>
      <c r="F537" s="2" t="s">
        <v>96</v>
      </c>
      <c r="G537" s="2" t="s">
        <v>64</v>
      </c>
      <c r="H537" s="2">
        <v>77.0</v>
      </c>
      <c r="I537" s="3" t="str">
        <f>IFERROR(VLOOKUP($C537,Merchants!$A$1:$D$41,2,FALSE),"Merchant not found")</f>
        <v>Merchant_014</v>
      </c>
      <c r="J537" s="3" t="str">
        <f>IFERROR(VLOOKUP($C537,Merchants!$A$1:$D$41,3,FALSE),"Merchant not found")</f>
        <v>grocery</v>
      </c>
      <c r="K537" s="3" t="str">
        <f>IFERROR(VLOOKUP($C537,Merchants!$A$1:$D$41,4,FALSE),"Merchant not found")</f>
        <v>South</v>
      </c>
      <c r="L537" s="3">
        <f>IFERROR(HLOOKUP(F537,Fee_Lookup!$B$1:$E$2,2,FALSE),"Fee not found")</f>
        <v>1.8</v>
      </c>
      <c r="M537" s="3" t="str">
        <f>IF(AND(SUMIF(Transactions!$C$2:$C$548,C537,Transactions!$E$2:$E$548)&gt;5000,K537&lt;&gt;"East"),"High-Value Merchant Day","Normal")</f>
        <v>High-Value Merchant Day</v>
      </c>
    </row>
    <row r="538">
      <c r="A538" s="2" t="s">
        <v>621</v>
      </c>
      <c r="B538" s="2">
        <v>200.0</v>
      </c>
      <c r="C538" s="2">
        <v>5.0</v>
      </c>
      <c r="D538" s="5">
        <v>46023.91736111111</v>
      </c>
      <c r="E538" s="2">
        <v>499.0</v>
      </c>
      <c r="F538" s="2" t="s">
        <v>96</v>
      </c>
      <c r="G538" s="2" t="s">
        <v>64</v>
      </c>
      <c r="H538" s="2">
        <v>66.0</v>
      </c>
      <c r="I538" s="3" t="str">
        <f>IFERROR(VLOOKUP($C538,Merchants!$A$1:$D$41,2,FALSE),"Merchant not found")</f>
        <v>Merchant_005</v>
      </c>
      <c r="J538" s="3" t="str">
        <f>IFERROR(VLOOKUP($C538,Merchants!$A$1:$D$41,3,FALSE),"Merchant not found")</f>
        <v>food_delivery</v>
      </c>
      <c r="K538" s="3" t="str">
        <f>IFERROR(VLOOKUP($C538,Merchants!$A$1:$D$41,4,FALSE),"Merchant not found")</f>
        <v>West</v>
      </c>
      <c r="L538" s="3">
        <f>IFERROR(HLOOKUP(F538,Fee_Lookup!$B$1:$E$2,2,FALSE),"Fee not found")</f>
        <v>1.8</v>
      </c>
      <c r="M538" s="3" t="str">
        <f>IF(AND(SUMIF(Transactions!$C$2:$C$548,C538,Transactions!$E$2:$E$548)&gt;5000,K538&lt;&gt;"East"),"High-Value Merchant Day","Normal")</f>
        <v>High-Value Merchant Day</v>
      </c>
    </row>
    <row r="539">
      <c r="A539" s="2" t="s">
        <v>622</v>
      </c>
      <c r="B539" s="2">
        <v>200.0</v>
      </c>
      <c r="C539" s="2">
        <v>35.0</v>
      </c>
      <c r="D539" s="5">
        <v>46023.91805555556</v>
      </c>
      <c r="E539" s="2">
        <v>299.0</v>
      </c>
      <c r="F539" s="2" t="s">
        <v>96</v>
      </c>
      <c r="G539" s="2" t="s">
        <v>64</v>
      </c>
      <c r="H539" s="2">
        <v>83.0</v>
      </c>
      <c r="I539" s="3" t="str">
        <f>IFERROR(VLOOKUP($C539,Merchants!$A$1:$D$41,2,FALSE),"Merchant not found")</f>
        <v>Merchant_035</v>
      </c>
      <c r="J539" s="3" t="str">
        <f>IFERROR(VLOOKUP($C539,Merchants!$A$1:$D$41,3,FALSE),"Merchant not found")</f>
        <v>food_delivery</v>
      </c>
      <c r="K539" s="3" t="str">
        <f>IFERROR(VLOOKUP($C539,Merchants!$A$1:$D$41,4,FALSE),"Merchant not found")</f>
        <v>South</v>
      </c>
      <c r="L539" s="3">
        <f>IFERROR(HLOOKUP(F539,Fee_Lookup!$B$1:$E$2,2,FALSE),"Fee not found")</f>
        <v>1.8</v>
      </c>
      <c r="M539" s="3" t="str">
        <f>IF(AND(SUMIF(Transactions!$C$2:$C$548,C539,Transactions!$E$2:$E$548)&gt;5000,K539&lt;&gt;"East"),"High-Value Merchant Day","Normal")</f>
        <v>High-Value Merchant Day</v>
      </c>
    </row>
    <row r="540">
      <c r="A540" s="2" t="s">
        <v>623</v>
      </c>
      <c r="B540" s="2">
        <v>200.0</v>
      </c>
      <c r="C540" s="2">
        <v>21.0</v>
      </c>
      <c r="D540" s="5">
        <v>46023.91875</v>
      </c>
      <c r="E540" s="2">
        <v>299.0</v>
      </c>
      <c r="F540" s="2" t="s">
        <v>96</v>
      </c>
      <c r="G540" s="2" t="s">
        <v>36</v>
      </c>
      <c r="H540" s="2">
        <v>89.0</v>
      </c>
      <c r="I540" s="3" t="str">
        <f>IFERROR(VLOOKUP($C540,Merchants!$A$1:$D$41,2,FALSE),"Merchant not found")</f>
        <v>Merchant_021</v>
      </c>
      <c r="J540" s="3" t="str">
        <f>IFERROR(VLOOKUP($C540,Merchants!$A$1:$D$41,3,FALSE),"Merchant not found")</f>
        <v>food_delivery</v>
      </c>
      <c r="K540" s="3" t="str">
        <f>IFERROR(VLOOKUP($C540,Merchants!$A$1:$D$41,4,FALSE),"Merchant not found")</f>
        <v>North</v>
      </c>
      <c r="L540" s="3">
        <f>IFERROR(HLOOKUP(F540,Fee_Lookup!$B$1:$E$2,2,FALSE),"Fee not found")</f>
        <v>1.8</v>
      </c>
      <c r="M540" s="3" t="str">
        <f>IF(AND(SUMIF(Transactions!$C$2:$C$548,C540,Transactions!$E$2:$E$548)&gt;5000,K540&lt;&gt;"East"),"High-Value Merchant Day","Normal")</f>
        <v>High-Value Merchant Day</v>
      </c>
    </row>
    <row r="541">
      <c r="A541" s="2" t="s">
        <v>624</v>
      </c>
      <c r="B541" s="2">
        <v>59.0</v>
      </c>
      <c r="C541" s="2">
        <v>32.0</v>
      </c>
      <c r="D541" s="5">
        <v>46031.875</v>
      </c>
      <c r="E541" s="2">
        <v>499.0</v>
      </c>
      <c r="F541" s="2" t="s">
        <v>96</v>
      </c>
      <c r="G541" s="2" t="s">
        <v>64</v>
      </c>
      <c r="H541" s="2">
        <v>80.0</v>
      </c>
      <c r="I541" s="3" t="str">
        <f>IFERROR(VLOOKUP($C541,Merchants!$A$1:$D$41,2,FALSE),"Merchant not found")</f>
        <v>Merchant_032</v>
      </c>
      <c r="J541" s="3" t="str">
        <f>IFERROR(VLOOKUP($C541,Merchants!$A$1:$D$41,3,FALSE),"Merchant not found")</f>
        <v>grocery</v>
      </c>
      <c r="K541" s="3" t="str">
        <f>IFERROR(VLOOKUP($C541,Merchants!$A$1:$D$41,4,FALSE),"Merchant not found")</f>
        <v>North</v>
      </c>
      <c r="L541" s="3">
        <f>IFERROR(HLOOKUP(F541,Fee_Lookup!$B$1:$E$2,2,FALSE),"Fee not found")</f>
        <v>1.8</v>
      </c>
      <c r="M541" s="3" t="str">
        <f>IF(AND(SUMIF(Transactions!$C$2:$C$548,C541,Transactions!$E$2:$E$548)&gt;5000,K541&lt;&gt;"East"),"High-Value Merchant Day","Normal")</f>
        <v>High-Value Merchant Day</v>
      </c>
    </row>
    <row r="542">
      <c r="A542" s="2" t="s">
        <v>625</v>
      </c>
      <c r="B542" s="2">
        <v>59.0</v>
      </c>
      <c r="C542" s="2">
        <v>39.0</v>
      </c>
      <c r="D542" s="5">
        <v>46031.87569444445</v>
      </c>
      <c r="E542" s="2">
        <v>399.0</v>
      </c>
      <c r="F542" s="2" t="s">
        <v>96</v>
      </c>
      <c r="G542" s="2" t="s">
        <v>64</v>
      </c>
      <c r="H542" s="2">
        <v>85.0</v>
      </c>
      <c r="I542" s="3" t="str">
        <f>IFERROR(VLOOKUP($C542,Merchants!$A$1:$D$41,2,FALSE),"Merchant not found")</f>
        <v>Merchant_039</v>
      </c>
      <c r="J542" s="3" t="str">
        <f>IFERROR(VLOOKUP($C542,Merchants!$A$1:$D$41,3,FALSE),"Merchant not found")</f>
        <v>grocery</v>
      </c>
      <c r="K542" s="3" t="str">
        <f>IFERROR(VLOOKUP($C542,Merchants!$A$1:$D$41,4,FALSE),"Merchant not found")</f>
        <v>South</v>
      </c>
      <c r="L542" s="3">
        <f>IFERROR(HLOOKUP(F542,Fee_Lookup!$B$1:$E$2,2,FALSE),"Fee not found")</f>
        <v>1.8</v>
      </c>
      <c r="M542" s="3" t="str">
        <f>IF(AND(SUMIF(Transactions!$C$2:$C$548,C542,Transactions!$E$2:$E$548)&gt;5000,K542&lt;&gt;"East"),"High-Value Merchant Day","Normal")</f>
        <v>High-Value Merchant Day</v>
      </c>
    </row>
    <row r="543">
      <c r="A543" s="2" t="s">
        <v>626</v>
      </c>
      <c r="B543" s="2">
        <v>59.0</v>
      </c>
      <c r="C543" s="2">
        <v>38.0</v>
      </c>
      <c r="D543" s="5">
        <v>46031.876388888886</v>
      </c>
      <c r="E543" s="2">
        <v>299.0</v>
      </c>
      <c r="F543" s="2" t="s">
        <v>96</v>
      </c>
      <c r="G543" s="2" t="s">
        <v>64</v>
      </c>
      <c r="H543" s="2">
        <v>82.0</v>
      </c>
      <c r="I543" s="3" t="str">
        <f>IFERROR(VLOOKUP($C543,Merchants!$A$1:$D$41,2,FALSE),"Merchant not found")</f>
        <v>Merchant_038</v>
      </c>
      <c r="J543" s="3" t="str">
        <f>IFERROR(VLOOKUP($C543,Merchants!$A$1:$D$41,3,FALSE),"Merchant not found")</f>
        <v>bill_payment</v>
      </c>
      <c r="K543" s="3" t="str">
        <f>IFERROR(VLOOKUP($C543,Merchants!$A$1:$D$41,4,FALSE),"Merchant not found")</f>
        <v>West</v>
      </c>
      <c r="L543" s="3">
        <f>IFERROR(HLOOKUP(F543,Fee_Lookup!$B$1:$E$2,2,FALSE),"Fee not found")</f>
        <v>1.8</v>
      </c>
      <c r="M543" s="3" t="str">
        <f>IF(AND(SUMIF(Transactions!$C$2:$C$548,C543,Transactions!$E$2:$E$548)&gt;5000,K543&lt;&gt;"East"),"High-Value Merchant Day","Normal")</f>
        <v>Normal</v>
      </c>
    </row>
    <row r="544">
      <c r="A544" s="2" t="s">
        <v>627</v>
      </c>
      <c r="B544" s="2">
        <v>59.0</v>
      </c>
      <c r="C544" s="2">
        <v>23.0</v>
      </c>
      <c r="D544" s="5">
        <v>46031.87708333333</v>
      </c>
      <c r="E544" s="2">
        <v>399.0</v>
      </c>
      <c r="F544" s="2" t="s">
        <v>96</v>
      </c>
      <c r="G544" s="2" t="s">
        <v>36</v>
      </c>
      <c r="H544" s="2">
        <v>71.0</v>
      </c>
      <c r="I544" s="3" t="str">
        <f>IFERROR(VLOOKUP($C544,Merchants!$A$1:$D$41,2,FALSE),"Merchant not found")</f>
        <v>Merchant_023</v>
      </c>
      <c r="J544" s="3" t="str">
        <f>IFERROR(VLOOKUP($C544,Merchants!$A$1:$D$41,3,FALSE),"Merchant not found")</f>
        <v>travel</v>
      </c>
      <c r="K544" s="3" t="str">
        <f>IFERROR(VLOOKUP($C544,Merchants!$A$1:$D$41,4,FALSE),"Merchant not found")</f>
        <v>South</v>
      </c>
      <c r="L544" s="3">
        <f>IFERROR(HLOOKUP(F544,Fee_Lookup!$B$1:$E$2,2,FALSE),"Fee not found")</f>
        <v>1.8</v>
      </c>
      <c r="M544" s="3" t="str">
        <f>IF(AND(SUMIF(Transactions!$C$2:$C$548,C544,Transactions!$E$2:$E$548)&gt;5000,K544&lt;&gt;"East"),"High-Value Merchant Day","Normal")</f>
        <v>Normal</v>
      </c>
    </row>
    <row r="545">
      <c r="A545" s="2" t="s">
        <v>628</v>
      </c>
      <c r="B545" s="2">
        <v>345.0</v>
      </c>
      <c r="C545" s="2">
        <v>40.0</v>
      </c>
      <c r="D545" s="5">
        <v>46045.375</v>
      </c>
      <c r="E545" s="2">
        <v>499.0</v>
      </c>
      <c r="F545" s="2" t="s">
        <v>96</v>
      </c>
      <c r="G545" s="2" t="s">
        <v>64</v>
      </c>
      <c r="H545" s="2">
        <v>65.0</v>
      </c>
      <c r="I545" s="3" t="str">
        <f>IFERROR(VLOOKUP($C545,Merchants!$A$1:$D$41,2,FALSE),"Merchant not found")</f>
        <v>Merchant_040</v>
      </c>
      <c r="J545" s="3" t="str">
        <f>IFERROR(VLOOKUP($C545,Merchants!$A$1:$D$41,3,FALSE),"Merchant not found")</f>
        <v>ecommerce</v>
      </c>
      <c r="K545" s="3" t="str">
        <f>IFERROR(VLOOKUP($C545,Merchants!$A$1:$D$41,4,FALSE),"Merchant not found")</f>
        <v>North</v>
      </c>
      <c r="L545" s="3">
        <f>IFERROR(HLOOKUP(F545,Fee_Lookup!$B$1:$E$2,2,FALSE),"Fee not found")</f>
        <v>1.8</v>
      </c>
      <c r="M545" s="3" t="str">
        <f>IF(AND(SUMIF(Transactions!$C$2:$C$548,C545,Transactions!$E$2:$E$548)&gt;5000,K545&lt;&gt;"East"),"High-Value Merchant Day","Normal")</f>
        <v>High-Value Merchant Day</v>
      </c>
    </row>
    <row r="546">
      <c r="A546" s="2" t="s">
        <v>629</v>
      </c>
      <c r="B546" s="2">
        <v>345.0</v>
      </c>
      <c r="C546" s="2">
        <v>9.0</v>
      </c>
      <c r="D546" s="5">
        <v>46045.37569444445</v>
      </c>
      <c r="E546" s="2">
        <v>399.0</v>
      </c>
      <c r="F546" s="2" t="s">
        <v>96</v>
      </c>
      <c r="G546" s="2" t="s">
        <v>64</v>
      </c>
      <c r="H546" s="2">
        <v>67.0</v>
      </c>
      <c r="I546" s="3" t="str">
        <f>IFERROR(VLOOKUP($C546,Merchants!$A$1:$D$41,2,FALSE),"Merchant not found")</f>
        <v>Merchant_009</v>
      </c>
      <c r="J546" s="3" t="str">
        <f>IFERROR(VLOOKUP($C546,Merchants!$A$1:$D$41,3,FALSE),"Merchant not found")</f>
        <v>entertainment</v>
      </c>
      <c r="K546" s="3" t="str">
        <f>IFERROR(VLOOKUP($C546,Merchants!$A$1:$D$41,4,FALSE),"Merchant not found")</f>
        <v>West</v>
      </c>
      <c r="L546" s="3">
        <f>IFERROR(HLOOKUP(F546,Fee_Lookup!$B$1:$E$2,2,FALSE),"Fee not found")</f>
        <v>1.8</v>
      </c>
      <c r="M546" s="3" t="str">
        <f>IF(AND(SUMIF(Transactions!$C$2:$C$548,C546,Transactions!$E$2:$E$548)&gt;5000,K546&lt;&gt;"East"),"High-Value Merchant Day","Normal")</f>
        <v>Normal</v>
      </c>
    </row>
    <row r="547">
      <c r="A547" s="2" t="s">
        <v>630</v>
      </c>
      <c r="B547" s="2">
        <v>345.0</v>
      </c>
      <c r="C547" s="2">
        <v>16.0</v>
      </c>
      <c r="D547" s="5">
        <v>46045.376388888886</v>
      </c>
      <c r="E547" s="2">
        <v>399.0</v>
      </c>
      <c r="F547" s="2" t="s">
        <v>96</v>
      </c>
      <c r="G547" s="2" t="s">
        <v>64</v>
      </c>
      <c r="H547" s="2">
        <v>67.0</v>
      </c>
      <c r="I547" s="3" t="str">
        <f>IFERROR(VLOOKUP($C547,Merchants!$A$1:$D$41,2,FALSE),"Merchant not found")</f>
        <v>Merchant_016</v>
      </c>
      <c r="J547" s="3" t="str">
        <f>IFERROR(VLOOKUP($C547,Merchants!$A$1:$D$41,3,FALSE),"Merchant not found")</f>
        <v>entertainment</v>
      </c>
      <c r="K547" s="3" t="str">
        <f>IFERROR(VLOOKUP($C547,Merchants!$A$1:$D$41,4,FALSE),"Merchant not found")</f>
        <v>North</v>
      </c>
      <c r="L547" s="3">
        <f>IFERROR(HLOOKUP(F547,Fee_Lookup!$B$1:$E$2,2,FALSE),"Fee not found")</f>
        <v>1.8</v>
      </c>
      <c r="M547" s="3" t="str">
        <f>IF(AND(SUMIF(Transactions!$C$2:$C$548,C547,Transactions!$E$2:$E$548)&gt;5000,K547&lt;&gt;"East"),"High-Value Merchant Day","Normal")</f>
        <v>High-Value Merchant Day</v>
      </c>
    </row>
    <row r="548">
      <c r="A548" s="2" t="s">
        <v>631</v>
      </c>
      <c r="B548" s="2">
        <v>345.0</v>
      </c>
      <c r="C548" s="2">
        <v>12.0</v>
      </c>
      <c r="D548" s="5">
        <v>46045.37708333333</v>
      </c>
      <c r="E548" s="2">
        <v>399.0</v>
      </c>
      <c r="F548" s="2" t="s">
        <v>96</v>
      </c>
      <c r="G548" s="2" t="s">
        <v>36</v>
      </c>
      <c r="H548" s="2">
        <v>69.0</v>
      </c>
      <c r="I548" s="3" t="str">
        <f>IFERROR(VLOOKUP($C548,Merchants!$A$1:$D$41,2,FALSE),"Merchant not found")</f>
        <v>Merchant_012</v>
      </c>
      <c r="J548" s="3" t="str">
        <f>IFERROR(VLOOKUP($C548,Merchants!$A$1:$D$41,3,FALSE),"Merchant not found")</f>
        <v>food_delivery</v>
      </c>
      <c r="K548" s="3" t="str">
        <f>IFERROR(VLOOKUP($C548,Merchants!$A$1:$D$41,4,FALSE),"Merchant not found")</f>
        <v>South</v>
      </c>
      <c r="L548" s="3">
        <f>IFERROR(HLOOKUP(F548,Fee_Lookup!$B$1:$E$2,2,FALSE),"Fee not found")</f>
        <v>1.8</v>
      </c>
      <c r="M548" s="3" t="str">
        <f>IF(AND(SUMIF(Transactions!$C$2:$C$548,C548,Transactions!$E$2:$E$548)&gt;5000,K548&lt;&gt;"East"),"High-Value Merchant Day","Normal")</f>
        <v>High-Value Merchant Day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5.75"/>
    <col customWidth="1" min="3" max="3" width="21.38"/>
    <col customWidth="1" min="4" max="4" width="15.75"/>
    <col customWidth="1" min="5" max="5" width="21.5"/>
    <col customWidth="1" min="6" max="6" width="15.75"/>
    <col customWidth="1" min="7" max="7" width="21.0"/>
    <col customWidth="1" min="8" max="8" width="16.0"/>
    <col customWidth="1" min="9" max="9" width="21.2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/>
      <c r="B45" s="3"/>
      <c r="C45" s="3"/>
      <c r="D45" s="3"/>
      <c r="E45" s="3"/>
      <c r="F45" s="3"/>
      <c r="G45" s="3"/>
      <c r="H45" s="3"/>
      <c r="I45" s="3"/>
    </row>
    <row r="46">
      <c r="A46" s="3"/>
      <c r="B46" s="3"/>
      <c r="C46" s="3"/>
      <c r="D46" s="3"/>
      <c r="E46" s="3"/>
      <c r="F46" s="3"/>
      <c r="G46" s="3"/>
      <c r="H46" s="3"/>
      <c r="I46" s="3"/>
    </row>
    <row r="47">
      <c r="A47" s="3"/>
      <c r="B47" s="3"/>
      <c r="C47" s="3"/>
      <c r="D47" s="3"/>
      <c r="E47" s="3"/>
      <c r="F47" s="3"/>
      <c r="G47" s="3"/>
      <c r="H47" s="3"/>
      <c r="I47" s="3"/>
    </row>
    <row r="48">
      <c r="A48" s="3"/>
      <c r="B48" s="3"/>
      <c r="C48" s="3"/>
      <c r="D48" s="3"/>
      <c r="E48" s="3"/>
      <c r="F48" s="3"/>
      <c r="G48" s="3"/>
      <c r="H48" s="3"/>
      <c r="I48" s="3"/>
    </row>
    <row r="49">
      <c r="A49" s="3"/>
      <c r="B49" s="3"/>
      <c r="C49" s="3"/>
      <c r="D49" s="3"/>
      <c r="E49" s="3"/>
      <c r="F49" s="3"/>
      <c r="G49" s="3"/>
      <c r="H49" s="3"/>
      <c r="I49" s="3"/>
    </row>
    <row r="50">
      <c r="A50" s="3"/>
      <c r="B50" s="3"/>
      <c r="C50" s="3"/>
      <c r="D50" s="3"/>
      <c r="E50" s="3"/>
      <c r="F50" s="3"/>
      <c r="G50" s="3"/>
      <c r="H50" s="3"/>
      <c r="I50" s="3"/>
    </row>
    <row r="51">
      <c r="A51" s="3"/>
      <c r="B51" s="3"/>
      <c r="C51" s="3"/>
      <c r="D51" s="3"/>
      <c r="E51" s="3"/>
      <c r="F51" s="3"/>
      <c r="G51" s="3"/>
      <c r="H51" s="3"/>
      <c r="I51" s="3"/>
    </row>
    <row r="52">
      <c r="A52" s="3"/>
      <c r="B52" s="3"/>
      <c r="C52" s="3"/>
      <c r="D52" s="3"/>
      <c r="E52" s="3"/>
      <c r="F52" s="3"/>
      <c r="G52" s="3"/>
      <c r="H52" s="3"/>
      <c r="I52" s="3"/>
    </row>
    <row r="53">
      <c r="A53" s="3"/>
      <c r="B53" s="3"/>
      <c r="C53" s="3"/>
      <c r="D53" s="3"/>
      <c r="E53" s="3"/>
      <c r="F53" s="3"/>
      <c r="G53" s="3"/>
      <c r="H53" s="3"/>
      <c r="I53" s="3"/>
    </row>
    <row r="54">
      <c r="A54" s="3"/>
      <c r="B54" s="3"/>
      <c r="C54" s="3"/>
      <c r="D54" s="3"/>
      <c r="E54" s="3"/>
      <c r="F54" s="3"/>
      <c r="G54" s="3"/>
      <c r="H54" s="3"/>
      <c r="I54" s="3"/>
    </row>
    <row r="55">
      <c r="A55" s="3"/>
      <c r="B55" s="3"/>
      <c r="C55" s="3"/>
      <c r="D55" s="3"/>
      <c r="E55" s="3"/>
      <c r="F55" s="3"/>
      <c r="G55" s="3"/>
      <c r="H55" s="3"/>
      <c r="I55" s="3"/>
    </row>
    <row r="56">
      <c r="A56" s="3"/>
      <c r="B56" s="3"/>
      <c r="C56" s="3"/>
      <c r="D56" s="3"/>
      <c r="E56" s="3"/>
      <c r="F56" s="3"/>
      <c r="G56" s="3"/>
      <c r="H56" s="3"/>
      <c r="I56" s="3"/>
    </row>
    <row r="57">
      <c r="A57" s="3"/>
      <c r="B57" s="3"/>
      <c r="C57" s="3"/>
      <c r="D57" s="3"/>
      <c r="E57" s="3"/>
      <c r="F57" s="3"/>
      <c r="G57" s="3"/>
      <c r="H57" s="3"/>
      <c r="I57" s="3"/>
    </row>
    <row r="58">
      <c r="A58" s="3"/>
      <c r="B58" s="3"/>
      <c r="C58" s="3"/>
      <c r="D58" s="3"/>
      <c r="E58" s="3"/>
      <c r="F58" s="3"/>
      <c r="G58" s="3"/>
      <c r="H58" s="3"/>
      <c r="I58" s="3"/>
    </row>
    <row r="59">
      <c r="A59" s="3"/>
      <c r="B59" s="3"/>
      <c r="C59" s="3"/>
      <c r="D59" s="3"/>
      <c r="E59" s="3"/>
      <c r="F59" s="3"/>
      <c r="G59" s="3"/>
      <c r="H59" s="3"/>
      <c r="I59" s="3"/>
    </row>
    <row r="60">
      <c r="A60" s="3"/>
      <c r="B60" s="3"/>
      <c r="C60" s="3"/>
      <c r="D60" s="3"/>
      <c r="E60" s="3"/>
      <c r="F60" s="3"/>
      <c r="G60" s="3"/>
      <c r="H60" s="3"/>
      <c r="I60" s="3"/>
    </row>
    <row r="61">
      <c r="A61" s="3"/>
      <c r="B61" s="3"/>
      <c r="C61" s="3"/>
      <c r="D61" s="3"/>
      <c r="E61" s="3"/>
      <c r="F61" s="3"/>
      <c r="G61" s="3"/>
      <c r="H61" s="3"/>
      <c r="I61" s="3"/>
    </row>
    <row r="62">
      <c r="A62" s="3"/>
      <c r="B62" s="3"/>
      <c r="C62" s="3"/>
      <c r="D62" s="3"/>
      <c r="E62" s="3"/>
      <c r="F62" s="3"/>
      <c r="G62" s="3"/>
      <c r="H62" s="3"/>
      <c r="I62" s="3"/>
    </row>
    <row r="63">
      <c r="A63" s="3"/>
      <c r="B63" s="3"/>
      <c r="C63" s="3"/>
      <c r="D63" s="3"/>
      <c r="E63" s="3"/>
      <c r="F63" s="3"/>
      <c r="G63" s="3"/>
      <c r="H63" s="3"/>
      <c r="I63" s="3"/>
    </row>
    <row r="64">
      <c r="A64" s="3"/>
      <c r="B64" s="3"/>
      <c r="C64" s="3"/>
      <c r="D64" s="3"/>
      <c r="E64" s="3"/>
      <c r="F64" s="3"/>
      <c r="G64" s="3"/>
      <c r="H64" s="3"/>
      <c r="I64" s="3"/>
    </row>
    <row r="65">
      <c r="A65" s="3"/>
      <c r="B65" s="3"/>
      <c r="C65" s="3"/>
      <c r="D65" s="3"/>
      <c r="E65" s="3"/>
      <c r="F65" s="3"/>
      <c r="G65" s="3"/>
      <c r="H65" s="3"/>
      <c r="I65" s="3"/>
    </row>
    <row r="66">
      <c r="A66" s="3"/>
      <c r="B66" s="3"/>
      <c r="C66" s="3"/>
      <c r="D66" s="3"/>
      <c r="E66" s="3"/>
      <c r="F66" s="3"/>
      <c r="G66" s="3"/>
      <c r="H66" s="3"/>
      <c r="I66" s="3"/>
    </row>
    <row r="67">
      <c r="A67" s="3"/>
      <c r="B67" s="3"/>
      <c r="C67" s="3"/>
      <c r="D67" s="3"/>
      <c r="E67" s="3"/>
      <c r="F67" s="3"/>
      <c r="G67" s="3"/>
      <c r="H67" s="3"/>
      <c r="I67" s="3"/>
    </row>
    <row r="68">
      <c r="A68" s="3"/>
      <c r="B68" s="3"/>
      <c r="C68" s="3"/>
      <c r="D68" s="3"/>
      <c r="E68" s="3"/>
      <c r="F68" s="3"/>
      <c r="G68" s="3"/>
      <c r="H68" s="3"/>
      <c r="I68" s="3"/>
    </row>
    <row r="69">
      <c r="A69" s="3"/>
      <c r="B69" s="3"/>
      <c r="C69" s="3"/>
      <c r="D69" s="3"/>
      <c r="E69" s="3"/>
      <c r="F69" s="3"/>
      <c r="G69" s="3"/>
      <c r="H69" s="3"/>
      <c r="I69" s="3"/>
    </row>
    <row r="70">
      <c r="A70" s="3"/>
      <c r="B70" s="3"/>
      <c r="C70" s="3"/>
      <c r="D70" s="3"/>
      <c r="E70" s="3"/>
      <c r="F70" s="3"/>
      <c r="G70" s="3"/>
      <c r="H70" s="3"/>
      <c r="I70" s="3"/>
    </row>
    <row r="71">
      <c r="A71" s="3"/>
      <c r="B71" s="3"/>
      <c r="C71" s="3"/>
      <c r="D71" s="3"/>
      <c r="E71" s="3"/>
      <c r="F71" s="3"/>
      <c r="G71" s="3"/>
      <c r="H71" s="3"/>
      <c r="I71" s="3"/>
    </row>
    <row r="72">
      <c r="A72" s="3"/>
      <c r="B72" s="3"/>
      <c r="C72" s="3"/>
      <c r="D72" s="3"/>
      <c r="E72" s="3"/>
      <c r="F72" s="3"/>
      <c r="G72" s="3"/>
      <c r="H72" s="3"/>
      <c r="I72" s="3"/>
    </row>
    <row r="73">
      <c r="A73" s="3"/>
      <c r="B73" s="3"/>
      <c r="C73" s="3"/>
      <c r="D73" s="3"/>
      <c r="E73" s="3"/>
      <c r="F73" s="3"/>
      <c r="G73" s="3"/>
      <c r="H73" s="3"/>
      <c r="I73" s="3"/>
    </row>
    <row r="74">
      <c r="A74" s="3"/>
      <c r="B74" s="3"/>
      <c r="C74" s="3"/>
      <c r="D74" s="3"/>
      <c r="E74" s="3"/>
      <c r="F74" s="3"/>
      <c r="G74" s="3"/>
      <c r="H74" s="3"/>
      <c r="I74" s="3"/>
    </row>
    <row r="75">
      <c r="A75" s="3"/>
      <c r="B75" s="3"/>
      <c r="C75" s="3"/>
      <c r="D75" s="3"/>
      <c r="E75" s="3"/>
      <c r="F75" s="3"/>
      <c r="G75" s="3"/>
      <c r="H75" s="3"/>
      <c r="I75" s="3"/>
    </row>
    <row r="76">
      <c r="A76" s="3"/>
      <c r="B76" s="3"/>
      <c r="C76" s="3"/>
      <c r="D76" s="3"/>
      <c r="E76" s="3"/>
      <c r="F76" s="3"/>
      <c r="G76" s="3"/>
      <c r="H76" s="3"/>
      <c r="I76" s="3"/>
    </row>
    <row r="77">
      <c r="A77" s="3"/>
      <c r="B77" s="3"/>
      <c r="C77" s="3"/>
      <c r="D77" s="3"/>
      <c r="E77" s="3"/>
      <c r="F77" s="3"/>
      <c r="G77" s="3"/>
      <c r="H77" s="3"/>
      <c r="I77" s="3"/>
    </row>
    <row r="78">
      <c r="A78" s="3"/>
      <c r="B78" s="3"/>
      <c r="C78" s="3"/>
      <c r="D78" s="3"/>
      <c r="E78" s="3"/>
      <c r="F78" s="3"/>
      <c r="G78" s="3"/>
      <c r="H78" s="3"/>
      <c r="I78" s="3"/>
    </row>
    <row r="79">
      <c r="A79" s="3"/>
      <c r="B79" s="3"/>
      <c r="C79" s="3"/>
      <c r="D79" s="3"/>
      <c r="E79" s="3"/>
      <c r="F79" s="3"/>
      <c r="G79" s="3"/>
      <c r="H79" s="3"/>
      <c r="I79" s="3"/>
    </row>
    <row r="80">
      <c r="A80" s="3"/>
      <c r="B80" s="3"/>
      <c r="C80" s="3"/>
      <c r="D80" s="3"/>
      <c r="E80" s="3"/>
      <c r="F80" s="3"/>
      <c r="G80" s="3"/>
      <c r="H80" s="3"/>
      <c r="I80" s="3"/>
    </row>
    <row r="81">
      <c r="A81" s="3"/>
      <c r="B81" s="3"/>
      <c r="C81" s="3"/>
      <c r="D81" s="3"/>
      <c r="E81" s="3"/>
      <c r="F81" s="3"/>
      <c r="G81" s="3"/>
      <c r="H81" s="3"/>
      <c r="I81" s="3"/>
    </row>
    <row r="82">
      <c r="A82" s="3"/>
      <c r="B82" s="3"/>
      <c r="C82" s="3"/>
      <c r="D82" s="3"/>
      <c r="E82" s="3"/>
      <c r="F82" s="3"/>
      <c r="G82" s="3"/>
      <c r="H82" s="3"/>
      <c r="I82" s="3"/>
    </row>
    <row r="83">
      <c r="A83" s="3"/>
      <c r="B83" s="3"/>
      <c r="C83" s="3"/>
      <c r="D83" s="3"/>
      <c r="E83" s="3"/>
      <c r="F83" s="3"/>
      <c r="G83" s="3"/>
      <c r="H83" s="3"/>
      <c r="I83" s="3"/>
    </row>
    <row r="84">
      <c r="A84" s="3"/>
      <c r="B84" s="3"/>
      <c r="C84" s="3"/>
      <c r="D84" s="3"/>
      <c r="E84" s="3"/>
      <c r="F84" s="3"/>
      <c r="G84" s="3"/>
      <c r="H84" s="3"/>
      <c r="I84" s="3"/>
    </row>
    <row r="85">
      <c r="A85" s="3"/>
      <c r="B85" s="3"/>
      <c r="C85" s="3"/>
      <c r="D85" s="3"/>
      <c r="E85" s="3"/>
      <c r="F85" s="3"/>
      <c r="G85" s="3"/>
      <c r="H85" s="3"/>
      <c r="I85" s="3"/>
    </row>
    <row r="86">
      <c r="A86" s="3"/>
      <c r="B86" s="3"/>
      <c r="C86" s="3"/>
      <c r="D86" s="3"/>
      <c r="E86" s="3"/>
      <c r="F86" s="3"/>
      <c r="G86" s="3"/>
      <c r="H86" s="3"/>
      <c r="I86" s="3"/>
    </row>
    <row r="87">
      <c r="A87" s="3"/>
      <c r="B87" s="3"/>
      <c r="C87" s="3"/>
      <c r="D87" s="3"/>
      <c r="E87" s="3"/>
      <c r="F87" s="3"/>
      <c r="G87" s="3"/>
      <c r="H87" s="3"/>
      <c r="I87" s="3"/>
    </row>
    <row r="88">
      <c r="A88" s="3"/>
      <c r="B88" s="3"/>
      <c r="C88" s="3"/>
      <c r="D88" s="3"/>
      <c r="E88" s="3"/>
      <c r="F88" s="3"/>
      <c r="G88" s="3"/>
      <c r="H88" s="3"/>
      <c r="I88" s="3"/>
    </row>
    <row r="89">
      <c r="A89" s="3"/>
      <c r="B89" s="3"/>
      <c r="C89" s="3"/>
      <c r="D89" s="3"/>
      <c r="E89" s="3"/>
      <c r="F89" s="3"/>
      <c r="G89" s="3"/>
      <c r="H89" s="3"/>
      <c r="I89" s="3"/>
    </row>
    <row r="90">
      <c r="A90" s="3"/>
      <c r="B90" s="3"/>
      <c r="C90" s="3"/>
      <c r="D90" s="3"/>
      <c r="E90" s="3"/>
      <c r="F90" s="3"/>
      <c r="G90" s="3"/>
      <c r="H90" s="3"/>
      <c r="I90" s="3"/>
    </row>
    <row r="91">
      <c r="A91" s="3"/>
      <c r="B91" s="3"/>
      <c r="C91" s="3"/>
      <c r="D91" s="3"/>
      <c r="E91" s="3"/>
      <c r="F91" s="3"/>
      <c r="G91" s="3"/>
      <c r="H91" s="3"/>
      <c r="I91" s="3"/>
    </row>
    <row r="92">
      <c r="A92" s="3"/>
      <c r="B92" s="3"/>
      <c r="C92" s="3"/>
      <c r="D92" s="3"/>
      <c r="E92" s="3"/>
      <c r="F92" s="3"/>
      <c r="G92" s="3"/>
      <c r="H92" s="3"/>
      <c r="I92" s="3"/>
    </row>
    <row r="93">
      <c r="A93" s="3"/>
      <c r="B93" s="3"/>
      <c r="C93" s="3"/>
      <c r="D93" s="3"/>
      <c r="E93" s="3"/>
      <c r="F93" s="3"/>
      <c r="G93" s="3"/>
      <c r="H93" s="3"/>
      <c r="I93" s="3"/>
    </row>
    <row r="94">
      <c r="A94" s="3"/>
      <c r="B94" s="3"/>
      <c r="C94" s="3"/>
      <c r="D94" s="3"/>
      <c r="E94" s="3"/>
      <c r="F94" s="3"/>
      <c r="G94" s="3"/>
      <c r="H94" s="3"/>
      <c r="I94" s="3"/>
    </row>
    <row r="95">
      <c r="A95" s="3"/>
      <c r="B95" s="3"/>
      <c r="C95" s="3"/>
      <c r="D95" s="3"/>
      <c r="E95" s="3"/>
      <c r="F95" s="3"/>
      <c r="G95" s="3"/>
      <c r="H95" s="3"/>
      <c r="I95" s="3"/>
    </row>
    <row r="96">
      <c r="A96" s="3"/>
      <c r="B96" s="3"/>
      <c r="C96" s="3"/>
      <c r="D96" s="3"/>
      <c r="E96" s="3"/>
      <c r="F96" s="3"/>
      <c r="G96" s="3"/>
      <c r="H96" s="3"/>
      <c r="I96" s="3"/>
    </row>
    <row r="97">
      <c r="A97" s="3"/>
      <c r="B97" s="3"/>
      <c r="C97" s="3"/>
      <c r="D97" s="3"/>
      <c r="E97" s="3"/>
      <c r="F97" s="3"/>
      <c r="G97" s="3"/>
      <c r="H97" s="3"/>
      <c r="I97" s="3"/>
    </row>
    <row r="98">
      <c r="A98" s="3"/>
      <c r="B98" s="3"/>
      <c r="C98" s="3"/>
      <c r="D98" s="3"/>
      <c r="E98" s="3"/>
      <c r="F98" s="3"/>
      <c r="G98" s="3"/>
      <c r="H98" s="3"/>
      <c r="I98" s="3"/>
    </row>
    <row r="99">
      <c r="A99" s="3"/>
      <c r="B99" s="3"/>
      <c r="C99" s="3"/>
      <c r="D99" s="3"/>
      <c r="E99" s="3"/>
      <c r="F99" s="3"/>
      <c r="G99" s="3"/>
      <c r="H99" s="3"/>
      <c r="I99" s="3"/>
    </row>
    <row r="100">
      <c r="A100" s="3"/>
      <c r="B100" s="3"/>
      <c r="C100" s="3"/>
      <c r="D100" s="3"/>
      <c r="E100" s="3"/>
      <c r="F100" s="3"/>
      <c r="G100" s="3"/>
      <c r="H100" s="3"/>
      <c r="I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</cols>
  <sheetData>
    <row r="1">
      <c r="A1" s="1" t="s">
        <v>3</v>
      </c>
      <c r="B1" s="1" t="s">
        <v>6</v>
      </c>
      <c r="C1" s="1" t="s">
        <v>7</v>
      </c>
      <c r="D1" s="1" t="s">
        <v>9</v>
      </c>
      <c r="E1" s="1" t="s">
        <v>10</v>
      </c>
    </row>
    <row r="2">
      <c r="A2" s="1" t="s">
        <v>13</v>
      </c>
      <c r="B2" s="1">
        <v>0.5</v>
      </c>
      <c r="C2" s="1">
        <v>1.0</v>
      </c>
      <c r="D2" s="1">
        <v>1.8</v>
      </c>
      <c r="E2" s="2">
        <v>1.5</v>
      </c>
    </row>
    <row r="3">
      <c r="A3" s="3"/>
      <c r="B3" s="3"/>
      <c r="C3" s="3"/>
      <c r="D3" s="3"/>
    </row>
    <row r="4">
      <c r="A4" s="3"/>
      <c r="B4" s="3"/>
      <c r="C4" s="3"/>
      <c r="D4" s="3"/>
    </row>
    <row r="5">
      <c r="A5" s="3"/>
      <c r="B5" s="3"/>
      <c r="C5" s="3"/>
      <c r="D5" s="3"/>
    </row>
    <row r="6">
      <c r="A6" s="3"/>
      <c r="B6" s="3"/>
      <c r="C6" s="3"/>
      <c r="D6" s="3"/>
    </row>
    <row r="7">
      <c r="A7" s="3"/>
      <c r="B7" s="3"/>
      <c r="C7" s="3"/>
      <c r="D7" s="3"/>
    </row>
    <row r="8">
      <c r="A8" s="3"/>
      <c r="B8" s="3"/>
      <c r="C8" s="3"/>
      <c r="D8" s="3"/>
    </row>
    <row r="9">
      <c r="A9" s="3"/>
      <c r="B9" s="3"/>
      <c r="C9" s="3"/>
      <c r="D9" s="3"/>
    </row>
    <row r="10">
      <c r="A10" s="3"/>
      <c r="B10" s="3"/>
      <c r="C10" s="3"/>
      <c r="D10" s="3"/>
    </row>
    <row r="11">
      <c r="A11" s="3"/>
      <c r="B11" s="3"/>
      <c r="C11" s="3"/>
      <c r="D11" s="3"/>
    </row>
    <row r="12">
      <c r="A12" s="3"/>
      <c r="B12" s="3"/>
      <c r="C12" s="3"/>
      <c r="D12" s="3"/>
    </row>
    <row r="13">
      <c r="A13" s="3"/>
      <c r="B13" s="3"/>
      <c r="C13" s="3"/>
      <c r="D13" s="3"/>
    </row>
    <row r="14">
      <c r="A14" s="3"/>
      <c r="B14" s="3"/>
      <c r="C14" s="3"/>
      <c r="D14" s="3"/>
    </row>
    <row r="15">
      <c r="A15" s="3"/>
      <c r="B15" s="3"/>
      <c r="C15" s="3"/>
      <c r="D15" s="3"/>
    </row>
    <row r="16">
      <c r="A16" s="3"/>
      <c r="B16" s="3"/>
      <c r="C16" s="3"/>
      <c r="D16" s="3"/>
    </row>
    <row r="17">
      <c r="A17" s="3"/>
      <c r="B17" s="3"/>
      <c r="C17" s="3"/>
      <c r="D17" s="3"/>
    </row>
    <row r="18">
      <c r="A18" s="3"/>
      <c r="B18" s="3"/>
      <c r="C18" s="3"/>
      <c r="D18" s="3"/>
    </row>
    <row r="19">
      <c r="A19" s="3"/>
      <c r="B19" s="3"/>
      <c r="C19" s="3"/>
      <c r="D19" s="3"/>
    </row>
    <row r="20">
      <c r="A20" s="3"/>
      <c r="B20" s="3"/>
      <c r="C20" s="3"/>
      <c r="D20" s="3"/>
    </row>
    <row r="21">
      <c r="A21" s="3"/>
      <c r="B21" s="3"/>
      <c r="C21" s="3"/>
      <c r="D21" s="3"/>
    </row>
    <row r="22">
      <c r="A22" s="3"/>
      <c r="B22" s="3"/>
      <c r="C22" s="3"/>
      <c r="D22" s="3"/>
    </row>
    <row r="23">
      <c r="A23" s="3"/>
      <c r="B23" s="3"/>
      <c r="C23" s="3"/>
      <c r="D23" s="3"/>
    </row>
    <row r="24">
      <c r="A24" s="3"/>
      <c r="B24" s="3"/>
      <c r="C24" s="3"/>
      <c r="D24" s="3"/>
    </row>
    <row r="25">
      <c r="A25" s="3"/>
      <c r="B25" s="3"/>
      <c r="C25" s="3"/>
      <c r="D25" s="3"/>
    </row>
    <row r="26">
      <c r="A26" s="3"/>
      <c r="B26" s="3"/>
      <c r="C26" s="3"/>
      <c r="D26" s="3"/>
    </row>
    <row r="27">
      <c r="A27" s="3"/>
      <c r="B27" s="3"/>
      <c r="C27" s="3"/>
      <c r="D27" s="3"/>
    </row>
    <row r="28">
      <c r="A28" s="3"/>
      <c r="B28" s="3"/>
      <c r="C28" s="3"/>
      <c r="D28" s="3"/>
    </row>
    <row r="29">
      <c r="A29" s="3"/>
      <c r="B29" s="3"/>
      <c r="C29" s="3"/>
      <c r="D29" s="3"/>
    </row>
    <row r="30">
      <c r="A30" s="3"/>
      <c r="B30" s="3"/>
      <c r="C30" s="3"/>
      <c r="D30" s="3"/>
    </row>
    <row r="31">
      <c r="A31" s="3"/>
      <c r="B31" s="3"/>
      <c r="C31" s="3"/>
      <c r="D31" s="3"/>
    </row>
    <row r="32">
      <c r="A32" s="3"/>
      <c r="B32" s="3"/>
      <c r="C32" s="3"/>
      <c r="D32" s="3"/>
    </row>
    <row r="33">
      <c r="A33" s="3"/>
      <c r="B33" s="3"/>
      <c r="C33" s="3"/>
      <c r="D33" s="3"/>
    </row>
    <row r="34">
      <c r="A34" s="3"/>
      <c r="B34" s="3"/>
      <c r="C34" s="3"/>
      <c r="D34" s="3"/>
    </row>
    <row r="35">
      <c r="A35" s="3"/>
      <c r="B35" s="3"/>
      <c r="C35" s="3"/>
      <c r="D35" s="3"/>
    </row>
    <row r="36">
      <c r="A36" s="3"/>
      <c r="B36" s="3"/>
      <c r="C36" s="3"/>
      <c r="D36" s="3"/>
    </row>
    <row r="37">
      <c r="A37" s="3"/>
      <c r="B37" s="3"/>
      <c r="C37" s="3"/>
      <c r="D37" s="3"/>
    </row>
    <row r="38">
      <c r="A38" s="3"/>
      <c r="B38" s="3"/>
      <c r="C38" s="3"/>
      <c r="D38" s="3"/>
    </row>
    <row r="39">
      <c r="A39" s="3"/>
      <c r="B39" s="3"/>
      <c r="C39" s="3"/>
      <c r="D39" s="3"/>
    </row>
    <row r="40">
      <c r="A40" s="3"/>
      <c r="B40" s="3"/>
      <c r="C40" s="3"/>
      <c r="D40" s="3"/>
    </row>
    <row r="41">
      <c r="A41" s="3"/>
      <c r="B41" s="3"/>
      <c r="C41" s="3"/>
      <c r="D41" s="3"/>
    </row>
    <row r="42">
      <c r="A42" s="3"/>
      <c r="B42" s="3"/>
      <c r="C42" s="3"/>
      <c r="D42" s="3"/>
    </row>
    <row r="43">
      <c r="A43" s="3"/>
      <c r="B43" s="3"/>
      <c r="C43" s="3"/>
      <c r="D43" s="3"/>
    </row>
    <row r="44">
      <c r="A44" s="3"/>
      <c r="B44" s="3"/>
      <c r="C44" s="3"/>
      <c r="D44" s="3"/>
    </row>
    <row r="45">
      <c r="A45" s="3"/>
      <c r="B45" s="3"/>
      <c r="C45" s="3"/>
      <c r="D45" s="3"/>
    </row>
    <row r="46">
      <c r="A46" s="3"/>
      <c r="B46" s="3"/>
      <c r="C46" s="3"/>
      <c r="D46" s="3"/>
    </row>
    <row r="47">
      <c r="A47" s="3"/>
      <c r="B47" s="3"/>
      <c r="C47" s="3"/>
      <c r="D47" s="3"/>
    </row>
    <row r="48">
      <c r="A48" s="3"/>
      <c r="B48" s="3"/>
      <c r="C48" s="3"/>
      <c r="D48" s="3"/>
    </row>
    <row r="49">
      <c r="A49" s="3"/>
      <c r="B49" s="3"/>
      <c r="C49" s="3"/>
      <c r="D49" s="3"/>
    </row>
    <row r="50">
      <c r="A50" s="3"/>
      <c r="B50" s="3"/>
      <c r="C50" s="3"/>
      <c r="D50" s="3"/>
    </row>
    <row r="51">
      <c r="A51" s="3"/>
      <c r="B51" s="3"/>
      <c r="C51" s="3"/>
      <c r="D51" s="3"/>
    </row>
    <row r="52">
      <c r="A52" s="3"/>
      <c r="B52" s="3"/>
      <c r="C52" s="3"/>
      <c r="D52" s="3"/>
    </row>
    <row r="53">
      <c r="A53" s="3"/>
      <c r="B53" s="3"/>
      <c r="C53" s="3"/>
      <c r="D53" s="3"/>
    </row>
    <row r="54">
      <c r="A54" s="3"/>
      <c r="B54" s="3"/>
      <c r="C54" s="3"/>
      <c r="D54" s="3"/>
    </row>
    <row r="55">
      <c r="A55" s="3"/>
      <c r="B55" s="3"/>
      <c r="C55" s="3"/>
      <c r="D55" s="3"/>
    </row>
    <row r="56">
      <c r="A56" s="3"/>
      <c r="B56" s="3"/>
      <c r="C56" s="3"/>
      <c r="D56" s="3"/>
    </row>
    <row r="57">
      <c r="A57" s="3"/>
      <c r="B57" s="3"/>
      <c r="C57" s="3"/>
      <c r="D57" s="3"/>
    </row>
    <row r="58">
      <c r="A58" s="3"/>
      <c r="B58" s="3"/>
      <c r="C58" s="3"/>
      <c r="D58" s="3"/>
    </row>
    <row r="59">
      <c r="A59" s="3"/>
      <c r="B59" s="3"/>
      <c r="C59" s="3"/>
      <c r="D59" s="3"/>
    </row>
    <row r="60">
      <c r="A60" s="3"/>
      <c r="B60" s="3"/>
      <c r="C60" s="3"/>
      <c r="D60" s="3"/>
    </row>
    <row r="61">
      <c r="A61" s="3"/>
      <c r="B61" s="3"/>
      <c r="C61" s="3"/>
      <c r="D61" s="3"/>
    </row>
    <row r="62">
      <c r="A62" s="3"/>
      <c r="B62" s="3"/>
      <c r="C62" s="3"/>
      <c r="D62" s="3"/>
    </row>
    <row r="63">
      <c r="A63" s="3"/>
      <c r="B63" s="3"/>
      <c r="C63" s="3"/>
      <c r="D63" s="3"/>
    </row>
    <row r="64">
      <c r="A64" s="3"/>
      <c r="B64" s="3"/>
      <c r="C64" s="3"/>
      <c r="D64" s="3"/>
    </row>
    <row r="65">
      <c r="A65" s="3"/>
      <c r="B65" s="3"/>
      <c r="C65" s="3"/>
      <c r="D65" s="3"/>
    </row>
    <row r="66">
      <c r="A66" s="3"/>
      <c r="B66" s="3"/>
      <c r="C66" s="3"/>
      <c r="D66" s="3"/>
    </row>
    <row r="67">
      <c r="A67" s="3"/>
      <c r="B67" s="3"/>
      <c r="C67" s="3"/>
      <c r="D67" s="3"/>
    </row>
    <row r="68">
      <c r="A68" s="3"/>
      <c r="B68" s="3"/>
      <c r="C68" s="3"/>
      <c r="D68" s="3"/>
    </row>
    <row r="69">
      <c r="A69" s="3"/>
      <c r="B69" s="3"/>
      <c r="C69" s="3"/>
      <c r="D69" s="3"/>
    </row>
    <row r="70">
      <c r="A70" s="3"/>
      <c r="B70" s="3"/>
      <c r="C70" s="3"/>
      <c r="D70" s="3"/>
    </row>
    <row r="71">
      <c r="A71" s="3"/>
      <c r="B71" s="3"/>
      <c r="C71" s="3"/>
      <c r="D71" s="3"/>
    </row>
    <row r="72">
      <c r="A72" s="3"/>
      <c r="B72" s="3"/>
      <c r="C72" s="3"/>
      <c r="D72" s="3"/>
    </row>
    <row r="73">
      <c r="A73" s="3"/>
      <c r="B73" s="3"/>
      <c r="C73" s="3"/>
      <c r="D73" s="3"/>
    </row>
    <row r="74">
      <c r="A74" s="3"/>
      <c r="B74" s="3"/>
      <c r="C74" s="3"/>
      <c r="D74" s="3"/>
    </row>
    <row r="75">
      <c r="A75" s="3"/>
      <c r="B75" s="3"/>
      <c r="C75" s="3"/>
      <c r="D75" s="3"/>
    </row>
    <row r="76">
      <c r="A76" s="3"/>
      <c r="B76" s="3"/>
      <c r="C76" s="3"/>
      <c r="D76" s="3"/>
    </row>
    <row r="77">
      <c r="A77" s="3"/>
      <c r="B77" s="3"/>
      <c r="C77" s="3"/>
      <c r="D77" s="3"/>
    </row>
    <row r="78">
      <c r="A78" s="3"/>
      <c r="B78" s="3"/>
      <c r="C78" s="3"/>
      <c r="D78" s="3"/>
    </row>
    <row r="79">
      <c r="A79" s="3"/>
      <c r="B79" s="3"/>
      <c r="C79" s="3"/>
      <c r="D79" s="3"/>
    </row>
    <row r="80">
      <c r="A80" s="3"/>
      <c r="B80" s="3"/>
      <c r="C80" s="3"/>
      <c r="D80" s="3"/>
    </row>
    <row r="81">
      <c r="A81" s="3"/>
      <c r="B81" s="3"/>
      <c r="C81" s="3"/>
      <c r="D81" s="3"/>
    </row>
    <row r="82">
      <c r="A82" s="3"/>
      <c r="B82" s="3"/>
      <c r="C82" s="3"/>
      <c r="D82" s="3"/>
    </row>
    <row r="83">
      <c r="A83" s="3"/>
      <c r="B83" s="3"/>
      <c r="C83" s="3"/>
      <c r="D83" s="3"/>
    </row>
    <row r="84">
      <c r="A84" s="3"/>
      <c r="B84" s="3"/>
      <c r="C84" s="3"/>
      <c r="D84" s="3"/>
    </row>
    <row r="85">
      <c r="A85" s="3"/>
      <c r="B85" s="3"/>
      <c r="C85" s="3"/>
      <c r="D85" s="3"/>
    </row>
    <row r="86">
      <c r="A86" s="3"/>
      <c r="B86" s="3"/>
      <c r="C86" s="3"/>
      <c r="D86" s="3"/>
    </row>
    <row r="87">
      <c r="A87" s="3"/>
      <c r="B87" s="3"/>
      <c r="C87" s="3"/>
      <c r="D87" s="3"/>
    </row>
    <row r="88">
      <c r="A88" s="3"/>
      <c r="B88" s="3"/>
      <c r="C88" s="3"/>
      <c r="D88" s="3"/>
    </row>
    <row r="89">
      <c r="A89" s="3"/>
      <c r="B89" s="3"/>
      <c r="C89" s="3"/>
      <c r="D89" s="3"/>
    </row>
    <row r="90">
      <c r="A90" s="3"/>
      <c r="B90" s="3"/>
      <c r="C90" s="3"/>
      <c r="D90" s="3"/>
    </row>
    <row r="91">
      <c r="A91" s="3"/>
      <c r="B91" s="3"/>
      <c r="C91" s="3"/>
      <c r="D91" s="3"/>
    </row>
    <row r="92">
      <c r="A92" s="3"/>
      <c r="B92" s="3"/>
      <c r="C92" s="3"/>
      <c r="D92" s="3"/>
    </row>
    <row r="93">
      <c r="A93" s="3"/>
      <c r="B93" s="3"/>
      <c r="C93" s="3"/>
      <c r="D93" s="3"/>
    </row>
    <row r="94">
      <c r="A94" s="3"/>
      <c r="B94" s="3"/>
      <c r="C94" s="3"/>
      <c r="D94" s="3"/>
    </row>
    <row r="95">
      <c r="A95" s="3"/>
      <c r="B95" s="3"/>
      <c r="C95" s="3"/>
      <c r="D95" s="3"/>
    </row>
    <row r="96">
      <c r="A96" s="3"/>
      <c r="B96" s="3"/>
      <c r="C96" s="3"/>
      <c r="D96" s="3"/>
    </row>
    <row r="97">
      <c r="A97" s="3"/>
      <c r="B97" s="3"/>
      <c r="C97" s="3"/>
      <c r="D97" s="3"/>
    </row>
    <row r="98">
      <c r="A98" s="3"/>
      <c r="B98" s="3"/>
      <c r="C98" s="3"/>
      <c r="D98" s="3"/>
    </row>
    <row r="99">
      <c r="A99" s="3"/>
      <c r="B99" s="3"/>
      <c r="C99" s="3"/>
      <c r="D99" s="3"/>
    </row>
    <row r="100">
      <c r="A100" s="3"/>
      <c r="B100" s="3"/>
      <c r="C100" s="3"/>
      <c r="D100" s="3"/>
    </row>
    <row r="101">
      <c r="A101" s="3"/>
      <c r="B101" s="3"/>
      <c r="C101" s="3"/>
      <c r="D101" s="3"/>
    </row>
    <row r="102">
      <c r="A102" s="3"/>
      <c r="B102" s="3"/>
      <c r="C102" s="3"/>
      <c r="D102" s="3"/>
    </row>
    <row r="103">
      <c r="A103" s="3"/>
      <c r="B103" s="3"/>
      <c r="C103" s="3"/>
      <c r="D103" s="3"/>
    </row>
    <row r="104">
      <c r="A104" s="3"/>
      <c r="B104" s="3"/>
      <c r="C104" s="3"/>
      <c r="D104" s="3"/>
    </row>
    <row r="105">
      <c r="A105" s="3"/>
      <c r="B105" s="3"/>
      <c r="C105" s="3"/>
      <c r="D105" s="3"/>
    </row>
    <row r="106">
      <c r="A106" s="3"/>
      <c r="B106" s="3"/>
      <c r="C106" s="3"/>
      <c r="D106" s="3"/>
    </row>
    <row r="107">
      <c r="A107" s="3"/>
      <c r="B107" s="3"/>
      <c r="C107" s="3"/>
      <c r="D107" s="3"/>
    </row>
    <row r="108">
      <c r="A108" s="3"/>
      <c r="B108" s="3"/>
      <c r="C108" s="3"/>
      <c r="D108" s="3"/>
    </row>
    <row r="109">
      <c r="A109" s="3"/>
      <c r="B109" s="3"/>
      <c r="C109" s="3"/>
      <c r="D109" s="3"/>
    </row>
    <row r="110">
      <c r="A110" s="3"/>
      <c r="B110" s="3"/>
      <c r="C110" s="3"/>
      <c r="D110" s="3"/>
    </row>
    <row r="111">
      <c r="A111" s="3"/>
      <c r="B111" s="3"/>
      <c r="C111" s="3"/>
      <c r="D111" s="3"/>
    </row>
    <row r="112">
      <c r="A112" s="3"/>
      <c r="B112" s="3"/>
      <c r="C112" s="3"/>
      <c r="D112" s="3"/>
    </row>
    <row r="113">
      <c r="A113" s="3"/>
      <c r="B113" s="3"/>
      <c r="C113" s="3"/>
      <c r="D113" s="3"/>
    </row>
    <row r="114">
      <c r="A114" s="3"/>
      <c r="B114" s="3"/>
      <c r="C114" s="3"/>
      <c r="D114" s="3"/>
    </row>
    <row r="115">
      <c r="A115" s="3"/>
      <c r="B115" s="3"/>
      <c r="C115" s="3"/>
      <c r="D115" s="3"/>
    </row>
    <row r="116">
      <c r="A116" s="3"/>
      <c r="B116" s="3"/>
      <c r="C116" s="3"/>
      <c r="D116" s="3"/>
    </row>
    <row r="117">
      <c r="A117" s="3"/>
      <c r="B117" s="3"/>
      <c r="C117" s="3"/>
      <c r="D117" s="3"/>
    </row>
    <row r="118">
      <c r="A118" s="3"/>
      <c r="B118" s="3"/>
      <c r="C118" s="3"/>
      <c r="D118" s="3"/>
    </row>
    <row r="119">
      <c r="A119" s="3"/>
      <c r="B119" s="3"/>
      <c r="C119" s="3"/>
      <c r="D119" s="3"/>
    </row>
    <row r="120">
      <c r="A120" s="3"/>
      <c r="B120" s="3"/>
      <c r="C120" s="3"/>
      <c r="D120" s="3"/>
    </row>
    <row r="121">
      <c r="A121" s="3"/>
      <c r="B121" s="3"/>
      <c r="C121" s="3"/>
      <c r="D121" s="3"/>
    </row>
    <row r="122">
      <c r="A122" s="3"/>
      <c r="B122" s="3"/>
      <c r="C122" s="3"/>
      <c r="D122" s="3"/>
    </row>
    <row r="123">
      <c r="A123" s="3"/>
      <c r="B123" s="3"/>
      <c r="C123" s="3"/>
      <c r="D123" s="3"/>
    </row>
    <row r="124">
      <c r="A124" s="3"/>
      <c r="B124" s="3"/>
      <c r="C124" s="3"/>
      <c r="D124" s="3"/>
    </row>
    <row r="125">
      <c r="A125" s="3"/>
      <c r="B125" s="3"/>
      <c r="C125" s="3"/>
      <c r="D125" s="3"/>
    </row>
    <row r="126">
      <c r="A126" s="3"/>
      <c r="B126" s="3"/>
      <c r="C126" s="3"/>
      <c r="D126" s="3"/>
    </row>
    <row r="127">
      <c r="A127" s="3"/>
      <c r="B127" s="3"/>
      <c r="C127" s="3"/>
      <c r="D127" s="3"/>
    </row>
    <row r="128">
      <c r="A128" s="3"/>
      <c r="B128" s="3"/>
      <c r="C128" s="3"/>
      <c r="D128" s="3"/>
    </row>
    <row r="129">
      <c r="A129" s="3"/>
      <c r="B129" s="3"/>
      <c r="C129" s="3"/>
      <c r="D129" s="3"/>
    </row>
    <row r="130">
      <c r="A130" s="3"/>
      <c r="B130" s="3"/>
      <c r="C130" s="3"/>
      <c r="D130" s="3"/>
    </row>
    <row r="131">
      <c r="A131" s="3"/>
      <c r="B131" s="3"/>
      <c r="C131" s="3"/>
      <c r="D131" s="3"/>
    </row>
    <row r="132">
      <c r="A132" s="3"/>
      <c r="B132" s="3"/>
      <c r="C132" s="3"/>
      <c r="D132" s="3"/>
    </row>
    <row r="133">
      <c r="A133" s="3"/>
      <c r="B133" s="3"/>
      <c r="C133" s="3"/>
      <c r="D133" s="3"/>
    </row>
    <row r="134">
      <c r="A134" s="3"/>
      <c r="B134" s="3"/>
      <c r="C134" s="3"/>
      <c r="D134" s="3"/>
    </row>
    <row r="135">
      <c r="A135" s="3"/>
      <c r="B135" s="3"/>
      <c r="C135" s="3"/>
      <c r="D135" s="3"/>
    </row>
    <row r="136">
      <c r="A136" s="3"/>
      <c r="B136" s="3"/>
      <c r="C136" s="3"/>
      <c r="D136" s="3"/>
    </row>
    <row r="137">
      <c r="A137" s="3"/>
      <c r="B137" s="3"/>
      <c r="C137" s="3"/>
      <c r="D137" s="3"/>
    </row>
    <row r="138">
      <c r="A138" s="3"/>
      <c r="B138" s="3"/>
      <c r="C138" s="3"/>
      <c r="D138" s="3"/>
    </row>
    <row r="139">
      <c r="A139" s="3"/>
      <c r="B139" s="3"/>
      <c r="C139" s="3"/>
      <c r="D139" s="3"/>
    </row>
    <row r="140">
      <c r="A140" s="3"/>
      <c r="B140" s="3"/>
      <c r="C140" s="3"/>
      <c r="D140" s="3"/>
    </row>
    <row r="141">
      <c r="A141" s="3"/>
      <c r="B141" s="3"/>
      <c r="C141" s="3"/>
      <c r="D141" s="3"/>
    </row>
    <row r="142">
      <c r="A142" s="3"/>
      <c r="B142" s="3"/>
      <c r="C142" s="3"/>
      <c r="D142" s="3"/>
    </row>
    <row r="143">
      <c r="A143" s="3"/>
      <c r="B143" s="3"/>
      <c r="C143" s="3"/>
      <c r="D143" s="3"/>
    </row>
    <row r="144">
      <c r="A144" s="3"/>
      <c r="B144" s="3"/>
      <c r="C144" s="3"/>
      <c r="D144" s="3"/>
    </row>
    <row r="145">
      <c r="A145" s="3"/>
      <c r="B145" s="3"/>
      <c r="C145" s="3"/>
      <c r="D145" s="3"/>
    </row>
    <row r="146">
      <c r="A146" s="3"/>
      <c r="B146" s="3"/>
      <c r="C146" s="3"/>
      <c r="D146" s="3"/>
    </row>
    <row r="147">
      <c r="A147" s="3"/>
      <c r="B147" s="3"/>
      <c r="C147" s="3"/>
      <c r="D147" s="3"/>
    </row>
    <row r="148">
      <c r="A148" s="3"/>
      <c r="B148" s="3"/>
      <c r="C148" s="3"/>
      <c r="D148" s="3"/>
    </row>
    <row r="149">
      <c r="A149" s="3"/>
      <c r="B149" s="3"/>
      <c r="C149" s="3"/>
      <c r="D149" s="3"/>
    </row>
    <row r="150">
      <c r="A150" s="3"/>
      <c r="B150" s="3"/>
      <c r="C150" s="3"/>
      <c r="D150" s="3"/>
    </row>
    <row r="151">
      <c r="A151" s="3"/>
      <c r="B151" s="3"/>
      <c r="C151" s="3"/>
      <c r="D151" s="3"/>
    </row>
    <row r="152">
      <c r="A152" s="3"/>
      <c r="B152" s="3"/>
      <c r="C152" s="3"/>
      <c r="D152" s="3"/>
    </row>
    <row r="153">
      <c r="A153" s="3"/>
      <c r="B153" s="3"/>
      <c r="C153" s="3"/>
      <c r="D153" s="3"/>
    </row>
    <row r="154">
      <c r="A154" s="3"/>
      <c r="B154" s="3"/>
      <c r="C154" s="3"/>
      <c r="D154" s="3"/>
    </row>
    <row r="155">
      <c r="A155" s="3"/>
      <c r="B155" s="3"/>
      <c r="C155" s="3"/>
      <c r="D155" s="3"/>
    </row>
    <row r="156">
      <c r="A156" s="3"/>
      <c r="B156" s="3"/>
      <c r="C156" s="3"/>
      <c r="D156" s="3"/>
    </row>
    <row r="157">
      <c r="A157" s="3"/>
      <c r="B157" s="3"/>
      <c r="C157" s="3"/>
      <c r="D157" s="3"/>
    </row>
    <row r="158">
      <c r="A158" s="3"/>
      <c r="B158" s="3"/>
      <c r="C158" s="3"/>
      <c r="D158" s="3"/>
    </row>
    <row r="159">
      <c r="A159" s="3"/>
      <c r="B159" s="3"/>
      <c r="C159" s="3"/>
      <c r="D159" s="3"/>
    </row>
    <row r="160">
      <c r="A160" s="3"/>
      <c r="B160" s="3"/>
      <c r="C160" s="3"/>
      <c r="D160" s="3"/>
    </row>
    <row r="161">
      <c r="A161" s="3"/>
      <c r="B161" s="3"/>
      <c r="C161" s="3"/>
      <c r="D161" s="3"/>
    </row>
    <row r="162">
      <c r="A162" s="3"/>
      <c r="B162" s="3"/>
      <c r="C162" s="3"/>
      <c r="D162" s="3"/>
    </row>
    <row r="163">
      <c r="A163" s="3"/>
      <c r="B163" s="3"/>
      <c r="C163" s="3"/>
      <c r="D163" s="3"/>
    </row>
    <row r="164">
      <c r="A164" s="3"/>
      <c r="B164" s="3"/>
      <c r="C164" s="3"/>
      <c r="D164" s="3"/>
    </row>
    <row r="165">
      <c r="A165" s="3"/>
      <c r="B165" s="3"/>
      <c r="C165" s="3"/>
      <c r="D165" s="3"/>
    </row>
    <row r="166">
      <c r="A166" s="3"/>
      <c r="B166" s="3"/>
      <c r="C166" s="3"/>
      <c r="D166" s="3"/>
    </row>
    <row r="167">
      <c r="A167" s="3"/>
      <c r="B167" s="3"/>
      <c r="C167" s="3"/>
      <c r="D167" s="3"/>
    </row>
    <row r="168">
      <c r="A168" s="3"/>
      <c r="B168" s="3"/>
      <c r="C168" s="3"/>
      <c r="D168" s="3"/>
    </row>
    <row r="169">
      <c r="A169" s="3"/>
      <c r="B169" s="3"/>
      <c r="C169" s="3"/>
      <c r="D169" s="3"/>
    </row>
    <row r="170">
      <c r="A170" s="3"/>
      <c r="B170" s="3"/>
      <c r="C170" s="3"/>
      <c r="D170" s="3"/>
    </row>
    <row r="171">
      <c r="A171" s="3"/>
      <c r="B171" s="3"/>
      <c r="C171" s="3"/>
      <c r="D171" s="3"/>
    </row>
    <row r="172">
      <c r="A172" s="3"/>
      <c r="B172" s="3"/>
      <c r="C172" s="3"/>
      <c r="D172" s="3"/>
    </row>
    <row r="173">
      <c r="A173" s="3"/>
      <c r="B173" s="3"/>
      <c r="C173" s="3"/>
      <c r="D173" s="3"/>
    </row>
    <row r="174">
      <c r="A174" s="3"/>
      <c r="B174" s="3"/>
      <c r="C174" s="3"/>
      <c r="D174" s="3"/>
    </row>
    <row r="175">
      <c r="A175" s="3"/>
      <c r="B175" s="3"/>
      <c r="C175" s="3"/>
      <c r="D175" s="3"/>
    </row>
    <row r="176">
      <c r="A176" s="3"/>
      <c r="B176" s="3"/>
      <c r="C176" s="3"/>
      <c r="D176" s="3"/>
    </row>
    <row r="177">
      <c r="A177" s="3"/>
      <c r="B177" s="3"/>
      <c r="C177" s="3"/>
      <c r="D177" s="3"/>
    </row>
    <row r="178">
      <c r="A178" s="3"/>
      <c r="B178" s="3"/>
      <c r="C178" s="3"/>
      <c r="D178" s="3"/>
    </row>
    <row r="179">
      <c r="A179" s="3"/>
      <c r="B179" s="3"/>
      <c r="C179" s="3"/>
      <c r="D179" s="3"/>
    </row>
    <row r="180">
      <c r="A180" s="3"/>
      <c r="B180" s="3"/>
      <c r="C180" s="3"/>
      <c r="D180" s="3"/>
    </row>
    <row r="181">
      <c r="A181" s="3"/>
      <c r="B181" s="3"/>
      <c r="C181" s="3"/>
      <c r="D181" s="3"/>
    </row>
    <row r="182">
      <c r="A182" s="3"/>
      <c r="B182" s="3"/>
      <c r="C182" s="3"/>
      <c r="D182" s="3"/>
    </row>
    <row r="183">
      <c r="A183" s="3"/>
      <c r="B183" s="3"/>
      <c r="C183" s="3"/>
      <c r="D183" s="3"/>
    </row>
    <row r="184">
      <c r="A184" s="3"/>
      <c r="B184" s="3"/>
      <c r="C184" s="3"/>
      <c r="D184" s="3"/>
    </row>
    <row r="185">
      <c r="A185" s="3"/>
      <c r="B185" s="3"/>
      <c r="C185" s="3"/>
      <c r="D185" s="3"/>
    </row>
    <row r="186">
      <c r="A186" s="3"/>
      <c r="B186" s="3"/>
      <c r="C186" s="3"/>
      <c r="D186" s="3"/>
    </row>
    <row r="187">
      <c r="A187" s="3"/>
      <c r="B187" s="3"/>
      <c r="C187" s="3"/>
      <c r="D187" s="3"/>
    </row>
    <row r="188">
      <c r="A188" s="3"/>
      <c r="B188" s="3"/>
      <c r="C188" s="3"/>
      <c r="D188" s="3"/>
    </row>
    <row r="189">
      <c r="A189" s="3"/>
      <c r="B189" s="3"/>
      <c r="C189" s="3"/>
      <c r="D189" s="3"/>
    </row>
    <row r="190">
      <c r="A190" s="3"/>
      <c r="B190" s="3"/>
      <c r="C190" s="3"/>
      <c r="D190" s="3"/>
    </row>
    <row r="191">
      <c r="A191" s="3"/>
      <c r="B191" s="3"/>
      <c r="C191" s="3"/>
      <c r="D191" s="3"/>
    </row>
    <row r="192">
      <c r="A192" s="3"/>
      <c r="B192" s="3"/>
      <c r="C192" s="3"/>
      <c r="D192" s="3"/>
    </row>
    <row r="193">
      <c r="A193" s="3"/>
      <c r="B193" s="3"/>
      <c r="C193" s="3"/>
      <c r="D193" s="3"/>
    </row>
    <row r="194">
      <c r="A194" s="3"/>
      <c r="B194" s="3"/>
      <c r="C194" s="3"/>
      <c r="D194" s="3"/>
    </row>
    <row r="195">
      <c r="A195" s="3"/>
      <c r="B195" s="3"/>
      <c r="C195" s="3"/>
      <c r="D195" s="3"/>
    </row>
    <row r="196">
      <c r="A196" s="3"/>
      <c r="B196" s="3"/>
      <c r="C196" s="3"/>
      <c r="D196" s="3"/>
    </row>
    <row r="197">
      <c r="A197" s="3"/>
      <c r="B197" s="3"/>
      <c r="C197" s="3"/>
      <c r="D197" s="3"/>
    </row>
    <row r="198">
      <c r="A198" s="3"/>
      <c r="B198" s="3"/>
      <c r="C198" s="3"/>
      <c r="D198" s="3"/>
    </row>
    <row r="199">
      <c r="A199" s="3"/>
      <c r="B199" s="3"/>
      <c r="C199" s="3"/>
      <c r="D199" s="3"/>
    </row>
    <row r="200">
      <c r="A200" s="3"/>
      <c r="B200" s="3"/>
      <c r="C200" s="3"/>
      <c r="D200" s="3"/>
    </row>
    <row r="201">
      <c r="A201" s="3"/>
      <c r="B201" s="3"/>
      <c r="C201" s="3"/>
      <c r="D201" s="3"/>
    </row>
    <row r="202">
      <c r="A202" s="3"/>
      <c r="B202" s="3"/>
      <c r="C202" s="3"/>
      <c r="D202" s="3"/>
    </row>
    <row r="203">
      <c r="A203" s="3"/>
      <c r="B203" s="3"/>
      <c r="C203" s="3"/>
      <c r="D203" s="3"/>
    </row>
    <row r="204">
      <c r="A204" s="3"/>
      <c r="B204" s="3"/>
      <c r="C204" s="3"/>
      <c r="D204" s="3"/>
    </row>
    <row r="205">
      <c r="A205" s="3"/>
      <c r="B205" s="3"/>
      <c r="C205" s="3"/>
      <c r="D205" s="3"/>
    </row>
    <row r="206">
      <c r="A206" s="3"/>
      <c r="B206" s="3"/>
      <c r="C206" s="3"/>
      <c r="D206" s="3"/>
    </row>
    <row r="207">
      <c r="A207" s="3"/>
      <c r="B207" s="3"/>
      <c r="C207" s="3"/>
      <c r="D207" s="3"/>
    </row>
    <row r="208">
      <c r="A208" s="3"/>
      <c r="B208" s="3"/>
      <c r="C208" s="3"/>
      <c r="D208" s="3"/>
    </row>
    <row r="209">
      <c r="A209" s="3"/>
      <c r="B209" s="3"/>
      <c r="C209" s="3"/>
      <c r="D209" s="3"/>
    </row>
    <row r="210">
      <c r="A210" s="3"/>
      <c r="B210" s="3"/>
      <c r="C210" s="3"/>
      <c r="D210" s="3"/>
    </row>
    <row r="211">
      <c r="A211" s="3"/>
      <c r="B211" s="3"/>
      <c r="C211" s="3"/>
      <c r="D211" s="3"/>
    </row>
    <row r="212">
      <c r="A212" s="3"/>
      <c r="B212" s="3"/>
      <c r="C212" s="3"/>
      <c r="D212" s="3"/>
    </row>
    <row r="213">
      <c r="A213" s="3"/>
      <c r="B213" s="3"/>
      <c r="C213" s="3"/>
      <c r="D213" s="3"/>
    </row>
    <row r="214">
      <c r="A214" s="3"/>
      <c r="B214" s="3"/>
      <c r="C214" s="3"/>
      <c r="D214" s="3"/>
    </row>
    <row r="215">
      <c r="A215" s="3"/>
      <c r="B215" s="3"/>
      <c r="C215" s="3"/>
      <c r="D215" s="3"/>
    </row>
    <row r="216">
      <c r="A216" s="3"/>
      <c r="B216" s="3"/>
      <c r="C216" s="3"/>
      <c r="D216" s="3"/>
    </row>
    <row r="217">
      <c r="A217" s="3"/>
      <c r="B217" s="3"/>
      <c r="C217" s="3"/>
      <c r="D217" s="3"/>
    </row>
    <row r="218">
      <c r="A218" s="3"/>
      <c r="B218" s="3"/>
      <c r="C218" s="3"/>
      <c r="D218" s="3"/>
    </row>
    <row r="219">
      <c r="A219" s="3"/>
      <c r="B219" s="3"/>
      <c r="C219" s="3"/>
      <c r="D219" s="3"/>
    </row>
    <row r="220">
      <c r="A220" s="3"/>
      <c r="B220" s="3"/>
      <c r="C220" s="3"/>
      <c r="D220" s="3"/>
    </row>
    <row r="221">
      <c r="A221" s="3"/>
      <c r="B221" s="3"/>
      <c r="C221" s="3"/>
      <c r="D221" s="3"/>
    </row>
    <row r="222">
      <c r="A222" s="3"/>
      <c r="B222" s="3"/>
      <c r="C222" s="3"/>
      <c r="D222" s="3"/>
    </row>
    <row r="223">
      <c r="A223" s="3"/>
      <c r="B223" s="3"/>
      <c r="C223" s="3"/>
      <c r="D223" s="3"/>
    </row>
    <row r="224">
      <c r="A224" s="3"/>
      <c r="B224" s="3"/>
      <c r="C224" s="3"/>
      <c r="D224" s="3"/>
    </row>
    <row r="225">
      <c r="A225" s="3"/>
      <c r="B225" s="3"/>
      <c r="C225" s="3"/>
      <c r="D225" s="3"/>
    </row>
    <row r="226">
      <c r="A226" s="3"/>
      <c r="B226" s="3"/>
      <c r="C226" s="3"/>
      <c r="D226" s="3"/>
    </row>
    <row r="227">
      <c r="A227" s="3"/>
      <c r="B227" s="3"/>
      <c r="C227" s="3"/>
      <c r="D227" s="3"/>
    </row>
    <row r="228">
      <c r="A228" s="3"/>
      <c r="B228" s="3"/>
      <c r="C228" s="3"/>
      <c r="D228" s="3"/>
    </row>
    <row r="229">
      <c r="A229" s="3"/>
      <c r="B229" s="3"/>
      <c r="C229" s="3"/>
      <c r="D229" s="3"/>
    </row>
    <row r="230">
      <c r="A230" s="3"/>
      <c r="B230" s="3"/>
      <c r="C230" s="3"/>
      <c r="D230" s="3"/>
    </row>
    <row r="231">
      <c r="A231" s="3"/>
      <c r="B231" s="3"/>
      <c r="C231" s="3"/>
      <c r="D231" s="3"/>
    </row>
    <row r="232">
      <c r="A232" s="3"/>
      <c r="B232" s="3"/>
      <c r="C232" s="3"/>
      <c r="D232" s="3"/>
    </row>
    <row r="233">
      <c r="A233" s="3"/>
      <c r="B233" s="3"/>
      <c r="C233" s="3"/>
      <c r="D233" s="3"/>
    </row>
    <row r="234">
      <c r="A234" s="3"/>
      <c r="B234" s="3"/>
      <c r="C234" s="3"/>
      <c r="D234" s="3"/>
    </row>
    <row r="235">
      <c r="A235" s="3"/>
      <c r="B235" s="3"/>
      <c r="C235" s="3"/>
      <c r="D235" s="3"/>
    </row>
    <row r="236">
      <c r="A236" s="3"/>
      <c r="B236" s="3"/>
      <c r="C236" s="3"/>
      <c r="D236" s="3"/>
    </row>
    <row r="237">
      <c r="A237" s="3"/>
      <c r="B237" s="3"/>
      <c r="C237" s="3"/>
      <c r="D237" s="3"/>
    </row>
    <row r="238">
      <c r="A238" s="3"/>
      <c r="B238" s="3"/>
      <c r="C238" s="3"/>
      <c r="D238" s="3"/>
    </row>
    <row r="239">
      <c r="A239" s="3"/>
      <c r="B239" s="3"/>
      <c r="C239" s="3"/>
      <c r="D239" s="3"/>
    </row>
    <row r="240">
      <c r="A240" s="3"/>
      <c r="B240" s="3"/>
      <c r="C240" s="3"/>
      <c r="D240" s="3"/>
    </row>
    <row r="241">
      <c r="A241" s="3"/>
      <c r="B241" s="3"/>
      <c r="C241" s="3"/>
      <c r="D241" s="3"/>
    </row>
    <row r="242">
      <c r="A242" s="3"/>
      <c r="B242" s="3"/>
      <c r="C242" s="3"/>
      <c r="D242" s="3"/>
    </row>
    <row r="243">
      <c r="A243" s="3"/>
      <c r="B243" s="3"/>
      <c r="C243" s="3"/>
      <c r="D243" s="3"/>
    </row>
    <row r="244">
      <c r="A244" s="3"/>
      <c r="B244" s="3"/>
      <c r="C244" s="3"/>
      <c r="D244" s="3"/>
    </row>
    <row r="245">
      <c r="A245" s="3"/>
      <c r="B245" s="3"/>
      <c r="C245" s="3"/>
      <c r="D245" s="3"/>
    </row>
    <row r="246">
      <c r="A246" s="3"/>
      <c r="B246" s="3"/>
      <c r="C246" s="3"/>
      <c r="D246" s="3"/>
    </row>
    <row r="247">
      <c r="A247" s="3"/>
      <c r="B247" s="3"/>
      <c r="C247" s="3"/>
      <c r="D247" s="3"/>
    </row>
    <row r="248">
      <c r="A248" s="3"/>
      <c r="B248" s="3"/>
      <c r="C248" s="3"/>
      <c r="D248" s="3"/>
    </row>
    <row r="249">
      <c r="A249" s="3"/>
      <c r="B249" s="3"/>
      <c r="C249" s="3"/>
      <c r="D249" s="3"/>
    </row>
    <row r="250">
      <c r="A250" s="3"/>
      <c r="B250" s="3"/>
      <c r="C250" s="3"/>
      <c r="D250" s="3"/>
    </row>
    <row r="251">
      <c r="A251" s="3"/>
      <c r="B251" s="3"/>
      <c r="C251" s="3"/>
      <c r="D251" s="3"/>
    </row>
    <row r="252">
      <c r="A252" s="3"/>
      <c r="B252" s="3"/>
      <c r="C252" s="3"/>
      <c r="D252" s="3"/>
    </row>
    <row r="253">
      <c r="A253" s="3"/>
      <c r="B253" s="3"/>
      <c r="C253" s="3"/>
      <c r="D253" s="3"/>
    </row>
    <row r="254">
      <c r="A254" s="3"/>
      <c r="B254" s="3"/>
      <c r="C254" s="3"/>
      <c r="D254" s="3"/>
    </row>
    <row r="255">
      <c r="A255" s="3"/>
      <c r="B255" s="3"/>
      <c r="C255" s="3"/>
      <c r="D255" s="3"/>
    </row>
    <row r="256">
      <c r="A256" s="3"/>
      <c r="B256" s="3"/>
      <c r="C256" s="3"/>
      <c r="D256" s="3"/>
    </row>
    <row r="257">
      <c r="A257" s="3"/>
      <c r="B257" s="3"/>
      <c r="C257" s="3"/>
      <c r="D257" s="3"/>
    </row>
    <row r="258">
      <c r="A258" s="3"/>
      <c r="B258" s="3"/>
      <c r="C258" s="3"/>
      <c r="D258" s="3"/>
    </row>
    <row r="259">
      <c r="A259" s="3"/>
      <c r="B259" s="3"/>
      <c r="C259" s="3"/>
      <c r="D259" s="3"/>
    </row>
    <row r="260">
      <c r="A260" s="3"/>
      <c r="B260" s="3"/>
      <c r="C260" s="3"/>
      <c r="D260" s="3"/>
    </row>
    <row r="261">
      <c r="A261" s="3"/>
      <c r="B261" s="3"/>
      <c r="C261" s="3"/>
      <c r="D261" s="3"/>
    </row>
    <row r="262">
      <c r="A262" s="3"/>
      <c r="B262" s="3"/>
      <c r="C262" s="3"/>
      <c r="D262" s="3"/>
    </row>
    <row r="263">
      <c r="A263" s="3"/>
      <c r="B263" s="3"/>
      <c r="C263" s="3"/>
      <c r="D263" s="3"/>
    </row>
    <row r="264">
      <c r="A264" s="3"/>
      <c r="B264" s="3"/>
      <c r="C264" s="3"/>
      <c r="D264" s="3"/>
    </row>
    <row r="265">
      <c r="A265" s="3"/>
      <c r="B265" s="3"/>
      <c r="C265" s="3"/>
      <c r="D265" s="3"/>
    </row>
    <row r="266">
      <c r="A266" s="3"/>
      <c r="B266" s="3"/>
      <c r="C266" s="3"/>
      <c r="D266" s="3"/>
    </row>
    <row r="267">
      <c r="A267" s="3"/>
      <c r="B267" s="3"/>
      <c r="C267" s="3"/>
      <c r="D267" s="3"/>
    </row>
    <row r="268">
      <c r="A268" s="3"/>
      <c r="B268" s="3"/>
      <c r="C268" s="3"/>
      <c r="D268" s="3"/>
    </row>
    <row r="269">
      <c r="A269" s="3"/>
      <c r="B269" s="3"/>
      <c r="C269" s="3"/>
      <c r="D269" s="3"/>
    </row>
    <row r="270">
      <c r="A270" s="3"/>
      <c r="B270" s="3"/>
      <c r="C270" s="3"/>
      <c r="D270" s="3"/>
    </row>
    <row r="271">
      <c r="A271" s="3"/>
      <c r="B271" s="3"/>
      <c r="C271" s="3"/>
      <c r="D271" s="3"/>
    </row>
    <row r="272">
      <c r="A272" s="3"/>
      <c r="B272" s="3"/>
      <c r="C272" s="3"/>
      <c r="D272" s="3"/>
    </row>
    <row r="273">
      <c r="A273" s="3"/>
      <c r="B273" s="3"/>
      <c r="C273" s="3"/>
      <c r="D273" s="3"/>
    </row>
    <row r="274">
      <c r="A274" s="3"/>
      <c r="B274" s="3"/>
      <c r="C274" s="3"/>
      <c r="D274" s="3"/>
    </row>
    <row r="275">
      <c r="A275" s="3"/>
      <c r="B275" s="3"/>
      <c r="C275" s="3"/>
      <c r="D275" s="3"/>
    </row>
    <row r="276">
      <c r="A276" s="3"/>
      <c r="B276" s="3"/>
      <c r="C276" s="3"/>
      <c r="D276" s="3"/>
    </row>
    <row r="277">
      <c r="A277" s="3"/>
      <c r="B277" s="3"/>
      <c r="C277" s="3"/>
      <c r="D277" s="3"/>
    </row>
    <row r="278">
      <c r="A278" s="3"/>
      <c r="B278" s="3"/>
      <c r="C278" s="3"/>
      <c r="D278" s="3"/>
    </row>
    <row r="279">
      <c r="A279" s="3"/>
      <c r="B279" s="3"/>
      <c r="C279" s="3"/>
      <c r="D279" s="3"/>
    </row>
    <row r="280">
      <c r="A280" s="3"/>
      <c r="B280" s="3"/>
      <c r="C280" s="3"/>
      <c r="D280" s="3"/>
    </row>
    <row r="281">
      <c r="A281" s="3"/>
      <c r="B281" s="3"/>
      <c r="C281" s="3"/>
      <c r="D281" s="3"/>
    </row>
    <row r="282">
      <c r="A282" s="3"/>
      <c r="B282" s="3"/>
      <c r="C282" s="3"/>
      <c r="D282" s="3"/>
    </row>
    <row r="283">
      <c r="A283" s="3"/>
      <c r="B283" s="3"/>
      <c r="C283" s="3"/>
      <c r="D283" s="3"/>
    </row>
    <row r="284">
      <c r="A284" s="3"/>
      <c r="B284" s="3"/>
      <c r="C284" s="3"/>
      <c r="D284" s="3"/>
    </row>
    <row r="285">
      <c r="A285" s="3"/>
      <c r="B285" s="3"/>
      <c r="C285" s="3"/>
      <c r="D285" s="3"/>
    </row>
    <row r="286">
      <c r="A286" s="3"/>
      <c r="B286" s="3"/>
      <c r="C286" s="3"/>
      <c r="D286" s="3"/>
    </row>
    <row r="287">
      <c r="A287" s="3"/>
      <c r="B287" s="3"/>
      <c r="C287" s="3"/>
      <c r="D287" s="3"/>
    </row>
    <row r="288">
      <c r="A288" s="3"/>
      <c r="B288" s="3"/>
      <c r="C288" s="3"/>
      <c r="D288" s="3"/>
    </row>
    <row r="289">
      <c r="A289" s="3"/>
      <c r="B289" s="3"/>
      <c r="C289" s="3"/>
      <c r="D289" s="3"/>
    </row>
    <row r="290">
      <c r="A290" s="3"/>
      <c r="B290" s="3"/>
      <c r="C290" s="3"/>
      <c r="D290" s="3"/>
    </row>
    <row r="291">
      <c r="A291" s="3"/>
      <c r="B291" s="3"/>
      <c r="C291" s="3"/>
      <c r="D291" s="3"/>
    </row>
    <row r="292">
      <c r="A292" s="3"/>
      <c r="B292" s="3"/>
      <c r="C292" s="3"/>
      <c r="D292" s="3"/>
    </row>
    <row r="293">
      <c r="A293" s="3"/>
      <c r="B293" s="3"/>
      <c r="C293" s="3"/>
      <c r="D293" s="3"/>
    </row>
    <row r="294">
      <c r="A294" s="3"/>
      <c r="B294" s="3"/>
      <c r="C294" s="3"/>
      <c r="D294" s="3"/>
    </row>
    <row r="295">
      <c r="A295" s="3"/>
      <c r="B295" s="3"/>
      <c r="C295" s="3"/>
      <c r="D295" s="3"/>
    </row>
    <row r="296">
      <c r="A296" s="3"/>
      <c r="B296" s="3"/>
      <c r="C296" s="3"/>
      <c r="D296" s="3"/>
    </row>
    <row r="297">
      <c r="A297" s="3"/>
      <c r="B297" s="3"/>
      <c r="C297" s="3"/>
      <c r="D297" s="3"/>
    </row>
    <row r="298">
      <c r="A298" s="3"/>
      <c r="B298" s="3"/>
      <c r="C298" s="3"/>
      <c r="D298" s="3"/>
    </row>
    <row r="299">
      <c r="A299" s="3"/>
      <c r="B299" s="3"/>
      <c r="C299" s="3"/>
      <c r="D299" s="3"/>
    </row>
    <row r="300">
      <c r="A300" s="3"/>
      <c r="B300" s="3"/>
      <c r="C300" s="3"/>
      <c r="D300" s="3"/>
    </row>
    <row r="301">
      <c r="A301" s="3"/>
      <c r="B301" s="3"/>
      <c r="C301" s="3"/>
      <c r="D301" s="3"/>
    </row>
    <row r="302">
      <c r="A302" s="3"/>
      <c r="B302" s="3"/>
      <c r="C302" s="3"/>
      <c r="D302" s="3"/>
    </row>
    <row r="303">
      <c r="A303" s="3"/>
      <c r="B303" s="3"/>
      <c r="C303" s="3"/>
      <c r="D303" s="3"/>
    </row>
    <row r="304">
      <c r="A304" s="3"/>
      <c r="B304" s="3"/>
      <c r="C304" s="3"/>
      <c r="D304" s="3"/>
    </row>
    <row r="305">
      <c r="A305" s="3"/>
      <c r="B305" s="3"/>
      <c r="C305" s="3"/>
      <c r="D305" s="3"/>
    </row>
    <row r="306">
      <c r="A306" s="3"/>
      <c r="B306" s="3"/>
      <c r="C306" s="3"/>
      <c r="D306" s="3"/>
    </row>
    <row r="307">
      <c r="A307" s="3"/>
      <c r="B307" s="3"/>
      <c r="C307" s="3"/>
      <c r="D307" s="3"/>
    </row>
    <row r="308">
      <c r="A308" s="3"/>
      <c r="B308" s="3"/>
      <c r="C308" s="3"/>
      <c r="D308" s="3"/>
    </row>
    <row r="309">
      <c r="A309" s="3"/>
      <c r="B309" s="3"/>
      <c r="C309" s="3"/>
      <c r="D309" s="3"/>
    </row>
    <row r="310">
      <c r="A310" s="3"/>
      <c r="B310" s="3"/>
      <c r="C310" s="3"/>
      <c r="D310" s="3"/>
    </row>
    <row r="311">
      <c r="A311" s="3"/>
      <c r="B311" s="3"/>
      <c r="C311" s="3"/>
      <c r="D311" s="3"/>
    </row>
    <row r="312">
      <c r="A312" s="3"/>
      <c r="B312" s="3"/>
      <c r="C312" s="3"/>
      <c r="D312" s="3"/>
    </row>
    <row r="313">
      <c r="A313" s="3"/>
      <c r="B313" s="3"/>
      <c r="C313" s="3"/>
      <c r="D313" s="3"/>
    </row>
    <row r="314">
      <c r="A314" s="3"/>
      <c r="B314" s="3"/>
      <c r="C314" s="3"/>
      <c r="D314" s="3"/>
    </row>
    <row r="315">
      <c r="A315" s="3"/>
      <c r="B315" s="3"/>
      <c r="C315" s="3"/>
      <c r="D315" s="3"/>
    </row>
    <row r="316">
      <c r="A316" s="3"/>
      <c r="B316" s="3"/>
      <c r="C316" s="3"/>
      <c r="D316" s="3"/>
    </row>
    <row r="317">
      <c r="A317" s="3"/>
      <c r="B317" s="3"/>
      <c r="C317" s="3"/>
      <c r="D317" s="3"/>
    </row>
    <row r="318">
      <c r="A318" s="3"/>
      <c r="B318" s="3"/>
      <c r="C318" s="3"/>
      <c r="D318" s="3"/>
    </row>
    <row r="319">
      <c r="A319" s="3"/>
      <c r="B319" s="3"/>
      <c r="C319" s="3"/>
      <c r="D319" s="3"/>
    </row>
    <row r="320">
      <c r="A320" s="3"/>
      <c r="B320" s="3"/>
      <c r="C320" s="3"/>
      <c r="D320" s="3"/>
    </row>
    <row r="321">
      <c r="A321" s="3"/>
      <c r="B321" s="3"/>
      <c r="C321" s="3"/>
      <c r="D321" s="3"/>
    </row>
    <row r="322">
      <c r="A322" s="3"/>
      <c r="B322" s="3"/>
      <c r="C322" s="3"/>
      <c r="D322" s="3"/>
    </row>
    <row r="323">
      <c r="A323" s="3"/>
      <c r="B323" s="3"/>
      <c r="C323" s="3"/>
      <c r="D323" s="3"/>
    </row>
    <row r="324">
      <c r="A324" s="3"/>
      <c r="B324" s="3"/>
      <c r="C324" s="3"/>
      <c r="D324" s="3"/>
    </row>
    <row r="325">
      <c r="A325" s="3"/>
      <c r="B325" s="3"/>
      <c r="C325" s="3"/>
      <c r="D325" s="3"/>
    </row>
    <row r="326">
      <c r="A326" s="3"/>
      <c r="B326" s="3"/>
      <c r="C326" s="3"/>
      <c r="D326" s="3"/>
    </row>
    <row r="327">
      <c r="A327" s="3"/>
      <c r="B327" s="3"/>
      <c r="C327" s="3"/>
      <c r="D327" s="3"/>
    </row>
    <row r="328">
      <c r="A328" s="3"/>
      <c r="B328" s="3"/>
      <c r="C328" s="3"/>
      <c r="D328" s="3"/>
    </row>
    <row r="329">
      <c r="A329" s="3"/>
      <c r="B329" s="3"/>
      <c r="C329" s="3"/>
      <c r="D329" s="3"/>
    </row>
    <row r="330">
      <c r="A330" s="3"/>
      <c r="B330" s="3"/>
      <c r="C330" s="3"/>
      <c r="D330" s="3"/>
    </row>
    <row r="331">
      <c r="A331" s="3"/>
      <c r="B331" s="3"/>
      <c r="C331" s="3"/>
      <c r="D331" s="3"/>
    </row>
    <row r="332">
      <c r="A332" s="3"/>
      <c r="B332" s="3"/>
      <c r="C332" s="3"/>
      <c r="D332" s="3"/>
    </row>
    <row r="333">
      <c r="A333" s="3"/>
      <c r="B333" s="3"/>
      <c r="C333" s="3"/>
      <c r="D333" s="3"/>
    </row>
    <row r="334">
      <c r="A334" s="3"/>
      <c r="B334" s="3"/>
      <c r="C334" s="3"/>
      <c r="D334" s="3"/>
    </row>
    <row r="335">
      <c r="A335" s="3"/>
      <c r="B335" s="3"/>
      <c r="C335" s="3"/>
      <c r="D335" s="3"/>
    </row>
    <row r="336">
      <c r="A336" s="3"/>
      <c r="B336" s="3"/>
      <c r="C336" s="3"/>
      <c r="D336" s="3"/>
    </row>
    <row r="337">
      <c r="A337" s="3"/>
      <c r="B337" s="3"/>
      <c r="C337" s="3"/>
      <c r="D337" s="3"/>
    </row>
    <row r="338">
      <c r="A338" s="3"/>
      <c r="B338" s="3"/>
      <c r="C338" s="3"/>
      <c r="D338" s="3"/>
    </row>
    <row r="339">
      <c r="A339" s="3"/>
      <c r="B339" s="3"/>
      <c r="C339" s="3"/>
      <c r="D339" s="3"/>
    </row>
    <row r="340">
      <c r="A340" s="3"/>
      <c r="B340" s="3"/>
      <c r="C340" s="3"/>
      <c r="D340" s="3"/>
    </row>
    <row r="341">
      <c r="A341" s="3"/>
      <c r="B341" s="3"/>
      <c r="C341" s="3"/>
      <c r="D341" s="3"/>
    </row>
    <row r="342">
      <c r="A342" s="3"/>
      <c r="B342" s="3"/>
      <c r="C342" s="3"/>
      <c r="D342" s="3"/>
    </row>
    <row r="343">
      <c r="A343" s="3"/>
      <c r="B343" s="3"/>
      <c r="C343" s="3"/>
      <c r="D343" s="3"/>
    </row>
    <row r="344">
      <c r="A344" s="3"/>
      <c r="B344" s="3"/>
      <c r="C344" s="3"/>
      <c r="D344" s="3"/>
    </row>
    <row r="345">
      <c r="A345" s="3"/>
      <c r="B345" s="3"/>
      <c r="C345" s="3"/>
      <c r="D345" s="3"/>
    </row>
    <row r="346">
      <c r="A346" s="3"/>
      <c r="B346" s="3"/>
      <c r="C346" s="3"/>
      <c r="D346" s="3"/>
    </row>
    <row r="347">
      <c r="A347" s="3"/>
      <c r="B347" s="3"/>
      <c r="C347" s="3"/>
      <c r="D347" s="3"/>
    </row>
    <row r="348">
      <c r="A348" s="3"/>
      <c r="B348" s="3"/>
      <c r="C348" s="3"/>
      <c r="D348" s="3"/>
    </row>
    <row r="349">
      <c r="A349" s="3"/>
      <c r="B349" s="3"/>
      <c r="C349" s="3"/>
      <c r="D349" s="3"/>
    </row>
    <row r="350">
      <c r="A350" s="3"/>
      <c r="B350" s="3"/>
      <c r="C350" s="3"/>
      <c r="D350" s="3"/>
    </row>
    <row r="351">
      <c r="A351" s="3"/>
      <c r="B351" s="3"/>
      <c r="C351" s="3"/>
      <c r="D351" s="3"/>
    </row>
    <row r="352">
      <c r="A352" s="3"/>
      <c r="B352" s="3"/>
      <c r="C352" s="3"/>
      <c r="D352" s="3"/>
    </row>
    <row r="353">
      <c r="A353" s="3"/>
      <c r="B353" s="3"/>
      <c r="C353" s="3"/>
      <c r="D353" s="3"/>
    </row>
    <row r="354">
      <c r="A354" s="3"/>
      <c r="B354" s="3"/>
      <c r="C354" s="3"/>
      <c r="D354" s="3"/>
    </row>
    <row r="355">
      <c r="A355" s="3"/>
      <c r="B355" s="3"/>
      <c r="C355" s="3"/>
      <c r="D355" s="3"/>
    </row>
    <row r="356">
      <c r="A356" s="3"/>
      <c r="B356" s="3"/>
      <c r="C356" s="3"/>
      <c r="D356" s="3"/>
    </row>
    <row r="357">
      <c r="A357" s="3"/>
      <c r="B357" s="3"/>
      <c r="C357" s="3"/>
      <c r="D357" s="3"/>
    </row>
    <row r="358">
      <c r="A358" s="3"/>
      <c r="B358" s="3"/>
      <c r="C358" s="3"/>
      <c r="D358" s="3"/>
    </row>
    <row r="359">
      <c r="A359" s="3"/>
      <c r="B359" s="3"/>
      <c r="C359" s="3"/>
      <c r="D359" s="3"/>
    </row>
    <row r="360">
      <c r="A360" s="3"/>
      <c r="B360" s="3"/>
      <c r="C360" s="3"/>
      <c r="D360" s="3"/>
    </row>
    <row r="361">
      <c r="A361" s="3"/>
      <c r="B361" s="3"/>
      <c r="C361" s="3"/>
      <c r="D361" s="3"/>
    </row>
    <row r="362">
      <c r="A362" s="3"/>
      <c r="B362" s="3"/>
      <c r="C362" s="3"/>
      <c r="D362" s="3"/>
    </row>
    <row r="363">
      <c r="A363" s="3"/>
      <c r="B363" s="3"/>
      <c r="C363" s="3"/>
      <c r="D363" s="3"/>
    </row>
    <row r="364">
      <c r="A364" s="3"/>
      <c r="B364" s="3"/>
      <c r="C364" s="3"/>
      <c r="D364" s="3"/>
    </row>
    <row r="365">
      <c r="A365" s="3"/>
      <c r="B365" s="3"/>
      <c r="C365" s="3"/>
      <c r="D365" s="3"/>
    </row>
    <row r="366">
      <c r="A366" s="3"/>
      <c r="B366" s="3"/>
      <c r="C366" s="3"/>
      <c r="D366" s="3"/>
    </row>
    <row r="367">
      <c r="A367" s="3"/>
      <c r="B367" s="3"/>
      <c r="C367" s="3"/>
      <c r="D367" s="3"/>
    </row>
    <row r="368">
      <c r="A368" s="3"/>
      <c r="B368" s="3"/>
      <c r="C368" s="3"/>
      <c r="D368" s="3"/>
    </row>
    <row r="369">
      <c r="A369" s="3"/>
      <c r="B369" s="3"/>
      <c r="C369" s="3"/>
      <c r="D369" s="3"/>
    </row>
    <row r="370">
      <c r="A370" s="3"/>
      <c r="B370" s="3"/>
      <c r="C370" s="3"/>
      <c r="D370" s="3"/>
    </row>
    <row r="371">
      <c r="A371" s="3"/>
      <c r="B371" s="3"/>
      <c r="C371" s="3"/>
      <c r="D371" s="3"/>
    </row>
    <row r="372">
      <c r="A372" s="3"/>
      <c r="B372" s="3"/>
      <c r="C372" s="3"/>
      <c r="D372" s="3"/>
    </row>
    <row r="373">
      <c r="A373" s="3"/>
      <c r="B373" s="3"/>
      <c r="C373" s="3"/>
      <c r="D373" s="3"/>
    </row>
    <row r="374">
      <c r="A374" s="3"/>
      <c r="B374" s="3"/>
      <c r="C374" s="3"/>
      <c r="D374" s="3"/>
    </row>
    <row r="375">
      <c r="A375" s="3"/>
      <c r="B375" s="3"/>
      <c r="C375" s="3"/>
      <c r="D375" s="3"/>
    </row>
    <row r="376">
      <c r="A376" s="3"/>
      <c r="B376" s="3"/>
      <c r="C376" s="3"/>
      <c r="D376" s="3"/>
    </row>
    <row r="377">
      <c r="A377" s="3"/>
      <c r="B377" s="3"/>
      <c r="C377" s="3"/>
      <c r="D377" s="3"/>
    </row>
    <row r="378">
      <c r="A378" s="3"/>
      <c r="B378" s="3"/>
      <c r="C378" s="3"/>
      <c r="D378" s="3"/>
    </row>
    <row r="379">
      <c r="A379" s="3"/>
      <c r="B379" s="3"/>
      <c r="C379" s="3"/>
      <c r="D379" s="3"/>
    </row>
    <row r="380">
      <c r="A380" s="3"/>
      <c r="B380" s="3"/>
      <c r="C380" s="3"/>
      <c r="D380" s="3"/>
    </row>
    <row r="381">
      <c r="A381" s="3"/>
      <c r="B381" s="3"/>
      <c r="C381" s="3"/>
      <c r="D381" s="3"/>
    </row>
    <row r="382">
      <c r="A382" s="3"/>
      <c r="B382" s="3"/>
      <c r="C382" s="3"/>
      <c r="D382" s="3"/>
    </row>
    <row r="383">
      <c r="A383" s="3"/>
      <c r="B383" s="3"/>
      <c r="C383" s="3"/>
      <c r="D383" s="3"/>
    </row>
    <row r="384">
      <c r="A384" s="3"/>
      <c r="B384" s="3"/>
      <c r="C384" s="3"/>
      <c r="D384" s="3"/>
    </row>
    <row r="385">
      <c r="A385" s="3"/>
      <c r="B385" s="3"/>
      <c r="C385" s="3"/>
      <c r="D385" s="3"/>
    </row>
    <row r="386">
      <c r="A386" s="3"/>
      <c r="B386" s="3"/>
      <c r="C386" s="3"/>
      <c r="D386" s="3"/>
    </row>
    <row r="387">
      <c r="A387" s="3"/>
      <c r="B387" s="3"/>
      <c r="C387" s="3"/>
      <c r="D387" s="3"/>
    </row>
    <row r="388">
      <c r="A388" s="3"/>
      <c r="B388" s="3"/>
      <c r="C388" s="3"/>
      <c r="D388" s="3"/>
    </row>
    <row r="389">
      <c r="A389" s="3"/>
      <c r="B389" s="3"/>
      <c r="C389" s="3"/>
      <c r="D389" s="3"/>
    </row>
    <row r="390">
      <c r="A390" s="3"/>
      <c r="B390" s="3"/>
      <c r="C390" s="3"/>
      <c r="D390" s="3"/>
    </row>
    <row r="391">
      <c r="A391" s="3"/>
      <c r="B391" s="3"/>
      <c r="C391" s="3"/>
      <c r="D391" s="3"/>
    </row>
    <row r="392">
      <c r="A392" s="3"/>
      <c r="B392" s="3"/>
      <c r="C392" s="3"/>
      <c r="D392" s="3"/>
    </row>
    <row r="393">
      <c r="A393" s="3"/>
      <c r="B393" s="3"/>
      <c r="C393" s="3"/>
      <c r="D393" s="3"/>
    </row>
    <row r="394">
      <c r="A394" s="3"/>
      <c r="B394" s="3"/>
      <c r="C394" s="3"/>
      <c r="D394" s="3"/>
    </row>
    <row r="395">
      <c r="A395" s="3"/>
      <c r="B395" s="3"/>
      <c r="C395" s="3"/>
      <c r="D395" s="3"/>
    </row>
    <row r="396">
      <c r="A396" s="3"/>
      <c r="B396" s="3"/>
      <c r="C396" s="3"/>
      <c r="D396" s="3"/>
    </row>
    <row r="397">
      <c r="A397" s="3"/>
      <c r="B397" s="3"/>
      <c r="C397" s="3"/>
      <c r="D397" s="3"/>
    </row>
    <row r="398">
      <c r="A398" s="3"/>
      <c r="B398" s="3"/>
      <c r="C398" s="3"/>
      <c r="D398" s="3"/>
    </row>
    <row r="399">
      <c r="A399" s="3"/>
      <c r="B399" s="3"/>
      <c r="C399" s="3"/>
      <c r="D399" s="3"/>
    </row>
    <row r="400">
      <c r="A400" s="3"/>
      <c r="B400" s="3"/>
      <c r="C400" s="3"/>
      <c r="D400" s="3"/>
    </row>
    <row r="401">
      <c r="A401" s="3"/>
      <c r="B401" s="3"/>
      <c r="C401" s="3"/>
      <c r="D401" s="3"/>
    </row>
    <row r="402">
      <c r="A402" s="3"/>
      <c r="B402" s="3"/>
      <c r="C402" s="3"/>
      <c r="D402" s="3"/>
    </row>
    <row r="403">
      <c r="A403" s="3"/>
      <c r="B403" s="3"/>
      <c r="C403" s="3"/>
      <c r="D403" s="3"/>
    </row>
    <row r="404">
      <c r="A404" s="3"/>
      <c r="B404" s="3"/>
      <c r="C404" s="3"/>
      <c r="D404" s="3"/>
    </row>
    <row r="405">
      <c r="A405" s="3"/>
      <c r="B405" s="3"/>
      <c r="C405" s="3"/>
      <c r="D405" s="3"/>
    </row>
    <row r="406">
      <c r="A406" s="3"/>
      <c r="B406" s="3"/>
      <c r="C406" s="3"/>
      <c r="D406" s="3"/>
    </row>
    <row r="407">
      <c r="A407" s="3"/>
      <c r="B407" s="3"/>
      <c r="C407" s="3"/>
      <c r="D407" s="3"/>
    </row>
    <row r="408">
      <c r="A408" s="3"/>
      <c r="B408" s="3"/>
      <c r="C408" s="3"/>
      <c r="D408" s="3"/>
    </row>
    <row r="409">
      <c r="A409" s="3"/>
      <c r="B409" s="3"/>
      <c r="C409" s="3"/>
      <c r="D409" s="3"/>
    </row>
    <row r="410">
      <c r="A410" s="3"/>
      <c r="B410" s="3"/>
      <c r="C410" s="3"/>
      <c r="D410" s="3"/>
    </row>
    <row r="411">
      <c r="A411" s="3"/>
      <c r="B411" s="3"/>
      <c r="C411" s="3"/>
      <c r="D411" s="3"/>
    </row>
    <row r="412">
      <c r="A412" s="3"/>
      <c r="B412" s="3"/>
      <c r="C412" s="3"/>
      <c r="D412" s="3"/>
    </row>
    <row r="413">
      <c r="A413" s="3"/>
      <c r="B413" s="3"/>
      <c r="C413" s="3"/>
      <c r="D413" s="3"/>
    </row>
    <row r="414">
      <c r="A414" s="3"/>
      <c r="B414" s="3"/>
      <c r="C414" s="3"/>
      <c r="D414" s="3"/>
    </row>
    <row r="415">
      <c r="A415" s="3"/>
      <c r="B415" s="3"/>
      <c r="C415" s="3"/>
      <c r="D415" s="3"/>
    </row>
    <row r="416">
      <c r="A416" s="3"/>
      <c r="B416" s="3"/>
      <c r="C416" s="3"/>
      <c r="D416" s="3"/>
    </row>
    <row r="417">
      <c r="A417" s="3"/>
      <c r="B417" s="3"/>
      <c r="C417" s="3"/>
      <c r="D417" s="3"/>
    </row>
    <row r="418">
      <c r="A418" s="3"/>
      <c r="B418" s="3"/>
      <c r="C418" s="3"/>
      <c r="D418" s="3"/>
    </row>
    <row r="419">
      <c r="A419" s="3"/>
      <c r="B419" s="3"/>
      <c r="C419" s="3"/>
      <c r="D419" s="3"/>
    </row>
    <row r="420">
      <c r="A420" s="3"/>
      <c r="B420" s="3"/>
      <c r="C420" s="3"/>
      <c r="D420" s="3"/>
    </row>
    <row r="421">
      <c r="A421" s="3"/>
      <c r="B421" s="3"/>
      <c r="C421" s="3"/>
      <c r="D421" s="3"/>
    </row>
    <row r="422">
      <c r="A422" s="3"/>
      <c r="B422" s="3"/>
      <c r="C422" s="3"/>
      <c r="D422" s="3"/>
    </row>
    <row r="423">
      <c r="A423" s="3"/>
      <c r="B423" s="3"/>
      <c r="C423" s="3"/>
      <c r="D423" s="3"/>
    </row>
    <row r="424">
      <c r="A424" s="3"/>
      <c r="B424" s="3"/>
      <c r="C424" s="3"/>
      <c r="D424" s="3"/>
    </row>
    <row r="425">
      <c r="A425" s="3"/>
      <c r="B425" s="3"/>
      <c r="C425" s="3"/>
      <c r="D425" s="3"/>
    </row>
    <row r="426">
      <c r="A426" s="3"/>
      <c r="B426" s="3"/>
      <c r="C426" s="3"/>
      <c r="D426" s="3"/>
    </row>
    <row r="427">
      <c r="A427" s="3"/>
      <c r="B427" s="3"/>
      <c r="C427" s="3"/>
      <c r="D427" s="3"/>
    </row>
    <row r="428">
      <c r="A428" s="3"/>
      <c r="B428" s="3"/>
      <c r="C428" s="3"/>
      <c r="D428" s="3"/>
    </row>
    <row r="429">
      <c r="A429" s="3"/>
      <c r="B429" s="3"/>
      <c r="C429" s="3"/>
      <c r="D429" s="3"/>
    </row>
    <row r="430">
      <c r="A430" s="3"/>
      <c r="B430" s="3"/>
      <c r="C430" s="3"/>
      <c r="D430" s="3"/>
    </row>
    <row r="431">
      <c r="A431" s="3"/>
      <c r="B431" s="3"/>
      <c r="C431" s="3"/>
      <c r="D431" s="3"/>
    </row>
    <row r="432">
      <c r="A432" s="3"/>
      <c r="B432" s="3"/>
      <c r="C432" s="3"/>
      <c r="D432" s="3"/>
    </row>
    <row r="433">
      <c r="A433" s="3"/>
      <c r="B433" s="3"/>
      <c r="C433" s="3"/>
      <c r="D433" s="3"/>
    </row>
    <row r="434">
      <c r="A434" s="3"/>
      <c r="B434" s="3"/>
      <c r="C434" s="3"/>
      <c r="D434" s="3"/>
    </row>
    <row r="435">
      <c r="A435" s="3"/>
      <c r="B435" s="3"/>
      <c r="C435" s="3"/>
      <c r="D435" s="3"/>
    </row>
    <row r="436">
      <c r="A436" s="3"/>
      <c r="B436" s="3"/>
      <c r="C436" s="3"/>
      <c r="D436" s="3"/>
    </row>
    <row r="437">
      <c r="A437" s="3"/>
      <c r="B437" s="3"/>
      <c r="C437" s="3"/>
      <c r="D437" s="3"/>
    </row>
    <row r="438">
      <c r="A438" s="3"/>
      <c r="B438" s="3"/>
      <c r="C438" s="3"/>
      <c r="D438" s="3"/>
    </row>
    <row r="439">
      <c r="A439" s="3"/>
      <c r="B439" s="3"/>
      <c r="C439" s="3"/>
      <c r="D439" s="3"/>
    </row>
    <row r="440">
      <c r="A440" s="3"/>
      <c r="B440" s="3"/>
      <c r="C440" s="3"/>
      <c r="D440" s="3"/>
    </row>
    <row r="441">
      <c r="A441" s="3"/>
      <c r="B441" s="3"/>
      <c r="C441" s="3"/>
      <c r="D441" s="3"/>
    </row>
    <row r="442">
      <c r="A442" s="3"/>
      <c r="B442" s="3"/>
      <c r="C442" s="3"/>
      <c r="D442" s="3"/>
    </row>
    <row r="443">
      <c r="A443" s="3"/>
      <c r="B443" s="3"/>
      <c r="C443" s="3"/>
      <c r="D443" s="3"/>
    </row>
    <row r="444">
      <c r="A444" s="3"/>
      <c r="B444" s="3"/>
      <c r="C444" s="3"/>
      <c r="D444" s="3"/>
    </row>
    <row r="445">
      <c r="A445" s="3"/>
      <c r="B445" s="3"/>
      <c r="C445" s="3"/>
      <c r="D445" s="3"/>
    </row>
    <row r="446">
      <c r="A446" s="3"/>
      <c r="B446" s="3"/>
      <c r="C446" s="3"/>
      <c r="D446" s="3"/>
    </row>
    <row r="447">
      <c r="A447" s="3"/>
      <c r="B447" s="3"/>
      <c r="C447" s="3"/>
      <c r="D447" s="3"/>
    </row>
    <row r="448">
      <c r="A448" s="3"/>
      <c r="B448" s="3"/>
      <c r="C448" s="3"/>
      <c r="D448" s="3"/>
    </row>
    <row r="449">
      <c r="A449" s="3"/>
      <c r="B449" s="3"/>
      <c r="C449" s="3"/>
      <c r="D449" s="3"/>
    </row>
    <row r="450">
      <c r="A450" s="3"/>
      <c r="B450" s="3"/>
      <c r="C450" s="3"/>
      <c r="D450" s="3"/>
    </row>
    <row r="451">
      <c r="A451" s="3"/>
      <c r="B451" s="3"/>
      <c r="C451" s="3"/>
      <c r="D451" s="3"/>
    </row>
    <row r="452">
      <c r="A452" s="3"/>
      <c r="B452" s="3"/>
      <c r="C452" s="3"/>
      <c r="D452" s="3"/>
    </row>
    <row r="453">
      <c r="A453" s="3"/>
      <c r="B453" s="3"/>
      <c r="C453" s="3"/>
      <c r="D453" s="3"/>
    </row>
    <row r="454">
      <c r="A454" s="3"/>
      <c r="B454" s="3"/>
      <c r="C454" s="3"/>
      <c r="D454" s="3"/>
    </row>
    <row r="455">
      <c r="A455" s="3"/>
      <c r="B455" s="3"/>
      <c r="C455" s="3"/>
      <c r="D455" s="3"/>
    </row>
    <row r="456">
      <c r="A456" s="3"/>
      <c r="B456" s="3"/>
      <c r="C456" s="3"/>
      <c r="D456" s="3"/>
    </row>
    <row r="457">
      <c r="A457" s="3"/>
      <c r="B457" s="3"/>
      <c r="C457" s="3"/>
      <c r="D457" s="3"/>
    </row>
    <row r="458">
      <c r="A458" s="3"/>
      <c r="B458" s="3"/>
      <c r="C458" s="3"/>
      <c r="D458" s="3"/>
    </row>
    <row r="459">
      <c r="A459" s="3"/>
      <c r="B459" s="3"/>
      <c r="C459" s="3"/>
      <c r="D459" s="3"/>
    </row>
    <row r="460">
      <c r="A460" s="3"/>
      <c r="B460" s="3"/>
      <c r="C460" s="3"/>
      <c r="D460" s="3"/>
    </row>
    <row r="461">
      <c r="A461" s="3"/>
      <c r="B461" s="3"/>
      <c r="C461" s="3"/>
      <c r="D461" s="3"/>
    </row>
    <row r="462">
      <c r="A462" s="3"/>
      <c r="B462" s="3"/>
      <c r="C462" s="3"/>
      <c r="D462" s="3"/>
    </row>
    <row r="463">
      <c r="A463" s="3"/>
      <c r="B463" s="3"/>
      <c r="C463" s="3"/>
      <c r="D463" s="3"/>
    </row>
    <row r="464">
      <c r="A464" s="3"/>
      <c r="B464" s="3"/>
      <c r="C464" s="3"/>
      <c r="D464" s="3"/>
    </row>
    <row r="465">
      <c r="A465" s="3"/>
      <c r="B465" s="3"/>
      <c r="C465" s="3"/>
      <c r="D465" s="3"/>
    </row>
    <row r="466">
      <c r="A466" s="3"/>
      <c r="B466" s="3"/>
      <c r="C466" s="3"/>
      <c r="D466" s="3"/>
    </row>
    <row r="467">
      <c r="A467" s="3"/>
      <c r="B467" s="3"/>
      <c r="C467" s="3"/>
      <c r="D467" s="3"/>
    </row>
    <row r="468">
      <c r="A468" s="3"/>
      <c r="B468" s="3"/>
      <c r="C468" s="3"/>
      <c r="D468" s="3"/>
    </row>
    <row r="469">
      <c r="A469" s="3"/>
      <c r="B469" s="3"/>
      <c r="C469" s="3"/>
      <c r="D469" s="3"/>
    </row>
    <row r="470">
      <c r="A470" s="3"/>
      <c r="B470" s="3"/>
      <c r="C470" s="3"/>
      <c r="D470" s="3"/>
    </row>
    <row r="471">
      <c r="A471" s="3"/>
      <c r="B471" s="3"/>
      <c r="C471" s="3"/>
      <c r="D471" s="3"/>
    </row>
    <row r="472">
      <c r="A472" s="3"/>
      <c r="B472" s="3"/>
      <c r="C472" s="3"/>
      <c r="D472" s="3"/>
    </row>
    <row r="473">
      <c r="A473" s="3"/>
      <c r="B473" s="3"/>
      <c r="C473" s="3"/>
      <c r="D473" s="3"/>
    </row>
    <row r="474">
      <c r="A474" s="3"/>
      <c r="B474" s="3"/>
      <c r="C474" s="3"/>
      <c r="D474" s="3"/>
    </row>
    <row r="475">
      <c r="A475" s="3"/>
      <c r="B475" s="3"/>
      <c r="C475" s="3"/>
      <c r="D475" s="3"/>
    </row>
    <row r="476">
      <c r="A476" s="3"/>
      <c r="B476" s="3"/>
      <c r="C476" s="3"/>
      <c r="D476" s="3"/>
    </row>
    <row r="477">
      <c r="A477" s="3"/>
      <c r="B477" s="3"/>
      <c r="C477" s="3"/>
      <c r="D477" s="3"/>
    </row>
    <row r="478">
      <c r="A478" s="3"/>
      <c r="B478" s="3"/>
      <c r="C478" s="3"/>
      <c r="D478" s="3"/>
    </row>
    <row r="479">
      <c r="A479" s="3"/>
      <c r="B479" s="3"/>
      <c r="C479" s="3"/>
      <c r="D479" s="3"/>
    </row>
    <row r="480">
      <c r="A480" s="3"/>
      <c r="B480" s="3"/>
      <c r="C480" s="3"/>
      <c r="D480" s="3"/>
    </row>
    <row r="481">
      <c r="A481" s="3"/>
      <c r="B481" s="3"/>
      <c r="C481" s="3"/>
      <c r="D481" s="3"/>
    </row>
    <row r="482">
      <c r="A482" s="3"/>
      <c r="B482" s="3"/>
      <c r="C482" s="3"/>
      <c r="D482" s="3"/>
    </row>
    <row r="483">
      <c r="A483" s="3"/>
      <c r="B483" s="3"/>
      <c r="C483" s="3"/>
      <c r="D483" s="3"/>
    </row>
    <row r="484">
      <c r="A484" s="3"/>
      <c r="B484" s="3"/>
      <c r="C484" s="3"/>
      <c r="D484" s="3"/>
    </row>
    <row r="485">
      <c r="A485" s="3"/>
      <c r="B485" s="3"/>
      <c r="C485" s="3"/>
      <c r="D485" s="3"/>
    </row>
    <row r="486">
      <c r="A486" s="3"/>
      <c r="B486" s="3"/>
      <c r="C486" s="3"/>
      <c r="D486" s="3"/>
    </row>
    <row r="487">
      <c r="A487" s="3"/>
      <c r="B487" s="3"/>
      <c r="C487" s="3"/>
      <c r="D487" s="3"/>
    </row>
    <row r="488">
      <c r="A488" s="3"/>
      <c r="B488" s="3"/>
      <c r="C488" s="3"/>
      <c r="D488" s="3"/>
    </row>
    <row r="489">
      <c r="A489" s="3"/>
      <c r="B489" s="3"/>
      <c r="C489" s="3"/>
      <c r="D489" s="3"/>
    </row>
    <row r="490">
      <c r="A490" s="3"/>
      <c r="B490" s="3"/>
      <c r="C490" s="3"/>
      <c r="D490" s="3"/>
    </row>
    <row r="491">
      <c r="A491" s="3"/>
      <c r="B491" s="3"/>
      <c r="C491" s="3"/>
      <c r="D491" s="3"/>
    </row>
    <row r="492">
      <c r="A492" s="3"/>
      <c r="B492" s="3"/>
      <c r="C492" s="3"/>
      <c r="D492" s="3"/>
    </row>
    <row r="493">
      <c r="A493" s="3"/>
      <c r="B493" s="3"/>
      <c r="C493" s="3"/>
      <c r="D493" s="3"/>
    </row>
    <row r="494">
      <c r="A494" s="3"/>
      <c r="B494" s="3"/>
      <c r="C494" s="3"/>
      <c r="D494" s="3"/>
    </row>
    <row r="495">
      <c r="A495" s="3"/>
      <c r="B495" s="3"/>
      <c r="C495" s="3"/>
      <c r="D495" s="3"/>
    </row>
    <row r="496">
      <c r="A496" s="3"/>
      <c r="B496" s="3"/>
      <c r="C496" s="3"/>
      <c r="D496" s="3"/>
    </row>
    <row r="497">
      <c r="A497" s="3"/>
      <c r="B497" s="3"/>
      <c r="C497" s="3"/>
      <c r="D497" s="3"/>
    </row>
    <row r="498">
      <c r="A498" s="3"/>
      <c r="B498" s="3"/>
      <c r="C498" s="3"/>
      <c r="D498" s="3"/>
    </row>
    <row r="499">
      <c r="A499" s="3"/>
      <c r="B499" s="3"/>
      <c r="C499" s="3"/>
      <c r="D499" s="3"/>
    </row>
    <row r="500">
      <c r="A500" s="3"/>
      <c r="B500" s="3"/>
      <c r="C500" s="3"/>
      <c r="D500" s="3"/>
    </row>
    <row r="501">
      <c r="A501" s="3"/>
      <c r="B501" s="3"/>
      <c r="C501" s="3"/>
      <c r="D501" s="3"/>
    </row>
    <row r="502">
      <c r="A502" s="3"/>
      <c r="B502" s="3"/>
      <c r="C502" s="3"/>
      <c r="D502" s="3"/>
    </row>
    <row r="503">
      <c r="A503" s="3"/>
      <c r="B503" s="3"/>
      <c r="C503" s="3"/>
      <c r="D503" s="3"/>
    </row>
    <row r="504">
      <c r="A504" s="3"/>
      <c r="B504" s="3"/>
      <c r="C504" s="3"/>
      <c r="D504" s="3"/>
    </row>
    <row r="505">
      <c r="A505" s="3"/>
      <c r="B505" s="3"/>
      <c r="C505" s="3"/>
      <c r="D505" s="3"/>
    </row>
    <row r="506">
      <c r="A506" s="3"/>
      <c r="B506" s="3"/>
      <c r="C506" s="3"/>
      <c r="D506" s="3"/>
    </row>
    <row r="507">
      <c r="A507" s="3"/>
      <c r="B507" s="3"/>
      <c r="C507" s="3"/>
      <c r="D507" s="3"/>
    </row>
    <row r="508">
      <c r="A508" s="3"/>
      <c r="B508" s="3"/>
      <c r="C508" s="3"/>
      <c r="D508" s="3"/>
    </row>
    <row r="509">
      <c r="A509" s="3"/>
      <c r="B509" s="3"/>
      <c r="C509" s="3"/>
      <c r="D509" s="3"/>
    </row>
    <row r="510">
      <c r="A510" s="3"/>
      <c r="B510" s="3"/>
      <c r="C510" s="3"/>
      <c r="D510" s="3"/>
    </row>
    <row r="511">
      <c r="A511" s="3"/>
      <c r="B511" s="3"/>
      <c r="C511" s="3"/>
      <c r="D511" s="3"/>
    </row>
    <row r="512">
      <c r="A512" s="3"/>
      <c r="B512" s="3"/>
      <c r="C512" s="3"/>
      <c r="D512" s="3"/>
    </row>
    <row r="513">
      <c r="A513" s="3"/>
      <c r="B513" s="3"/>
      <c r="C513" s="3"/>
      <c r="D513" s="3"/>
    </row>
    <row r="514">
      <c r="A514" s="3"/>
      <c r="B514" s="3"/>
      <c r="C514" s="3"/>
      <c r="D514" s="3"/>
    </row>
    <row r="515">
      <c r="A515" s="3"/>
      <c r="B515" s="3"/>
      <c r="C515" s="3"/>
      <c r="D515" s="3"/>
    </row>
    <row r="516">
      <c r="A516" s="3"/>
      <c r="B516" s="3"/>
      <c r="C516" s="3"/>
      <c r="D516" s="3"/>
    </row>
    <row r="517">
      <c r="A517" s="3"/>
      <c r="B517" s="3"/>
      <c r="C517" s="3"/>
      <c r="D517" s="3"/>
    </row>
    <row r="518">
      <c r="A518" s="3"/>
      <c r="B518" s="3"/>
      <c r="C518" s="3"/>
      <c r="D518" s="3"/>
    </row>
    <row r="519">
      <c r="A519" s="3"/>
      <c r="B519" s="3"/>
      <c r="C519" s="3"/>
      <c r="D519" s="3"/>
    </row>
    <row r="520">
      <c r="A520" s="3"/>
      <c r="B520" s="3"/>
      <c r="C520" s="3"/>
      <c r="D520" s="3"/>
    </row>
    <row r="521">
      <c r="A521" s="3"/>
      <c r="B521" s="3"/>
      <c r="C521" s="3"/>
      <c r="D521" s="3"/>
    </row>
    <row r="522">
      <c r="A522" s="3"/>
      <c r="B522" s="3"/>
      <c r="C522" s="3"/>
      <c r="D522" s="3"/>
    </row>
    <row r="523">
      <c r="A523" s="3"/>
      <c r="B523" s="3"/>
      <c r="C523" s="3"/>
      <c r="D523" s="3"/>
    </row>
    <row r="524">
      <c r="A524" s="3"/>
      <c r="B524" s="3"/>
      <c r="C524" s="3"/>
      <c r="D524" s="3"/>
    </row>
    <row r="525">
      <c r="A525" s="3"/>
      <c r="B525" s="3"/>
      <c r="C525" s="3"/>
      <c r="D525" s="3"/>
    </row>
    <row r="526">
      <c r="A526" s="3"/>
      <c r="B526" s="3"/>
      <c r="C526" s="3"/>
      <c r="D526" s="3"/>
    </row>
    <row r="527">
      <c r="A527" s="3"/>
      <c r="B527" s="3"/>
      <c r="C527" s="3"/>
      <c r="D527" s="3"/>
    </row>
    <row r="528">
      <c r="A528" s="3"/>
      <c r="B528" s="3"/>
      <c r="C528" s="3"/>
      <c r="D528" s="3"/>
    </row>
    <row r="529">
      <c r="A529" s="3"/>
      <c r="B529" s="3"/>
      <c r="C529" s="3"/>
      <c r="D529" s="3"/>
    </row>
    <row r="530">
      <c r="A530" s="3"/>
      <c r="B530" s="3"/>
      <c r="C530" s="3"/>
      <c r="D530" s="3"/>
    </row>
    <row r="531">
      <c r="A531" s="3"/>
      <c r="B531" s="3"/>
      <c r="C531" s="3"/>
      <c r="D531" s="3"/>
    </row>
    <row r="532">
      <c r="A532" s="3"/>
      <c r="B532" s="3"/>
      <c r="C532" s="3"/>
      <c r="D532" s="3"/>
    </row>
    <row r="533">
      <c r="A533" s="3"/>
      <c r="B533" s="3"/>
      <c r="C533" s="3"/>
      <c r="D533" s="3"/>
    </row>
    <row r="534">
      <c r="A534" s="3"/>
      <c r="B534" s="3"/>
      <c r="C534" s="3"/>
      <c r="D534" s="3"/>
    </row>
    <row r="535">
      <c r="A535" s="3"/>
      <c r="B535" s="3"/>
      <c r="C535" s="3"/>
      <c r="D535" s="3"/>
    </row>
    <row r="536">
      <c r="A536" s="3"/>
      <c r="B536" s="3"/>
      <c r="C536" s="3"/>
      <c r="D536" s="3"/>
    </row>
    <row r="537">
      <c r="A537" s="3"/>
      <c r="B537" s="3"/>
      <c r="C537" s="3"/>
      <c r="D537" s="3"/>
    </row>
    <row r="538">
      <c r="A538" s="3"/>
      <c r="B538" s="3"/>
      <c r="C538" s="3"/>
      <c r="D538" s="3"/>
    </row>
    <row r="539">
      <c r="A539" s="3"/>
      <c r="B539" s="3"/>
      <c r="C539" s="3"/>
      <c r="D539" s="3"/>
    </row>
    <row r="540">
      <c r="A540" s="3"/>
      <c r="B540" s="3"/>
      <c r="C540" s="3"/>
      <c r="D540" s="3"/>
    </row>
    <row r="541">
      <c r="A541" s="3"/>
      <c r="B541" s="3"/>
      <c r="C541" s="3"/>
      <c r="D541" s="3"/>
    </row>
    <row r="542">
      <c r="A542" s="3"/>
      <c r="B542" s="3"/>
      <c r="C542" s="3"/>
      <c r="D542" s="3"/>
    </row>
    <row r="543">
      <c r="A543" s="3"/>
      <c r="B543" s="3"/>
      <c r="C543" s="3"/>
      <c r="D543" s="3"/>
    </row>
    <row r="544">
      <c r="A544" s="3"/>
      <c r="B544" s="3"/>
      <c r="C544" s="3"/>
      <c r="D544" s="3"/>
    </row>
    <row r="545">
      <c r="A545" s="3"/>
      <c r="B545" s="3"/>
      <c r="C545" s="3"/>
      <c r="D545" s="3"/>
    </row>
    <row r="546">
      <c r="A546" s="3"/>
      <c r="B546" s="3"/>
      <c r="C546" s="3"/>
      <c r="D546" s="3"/>
    </row>
    <row r="547">
      <c r="A547" s="3"/>
      <c r="B547" s="3"/>
      <c r="C547" s="3"/>
      <c r="D547" s="3"/>
    </row>
    <row r="548">
      <c r="A548" s="3"/>
      <c r="B548" s="3"/>
      <c r="C548" s="3"/>
      <c r="D548" s="3"/>
    </row>
    <row r="549">
      <c r="A549" s="3"/>
      <c r="B549" s="3"/>
      <c r="C549" s="3"/>
      <c r="D549" s="3"/>
    </row>
    <row r="550">
      <c r="A550" s="3"/>
      <c r="B550" s="3"/>
      <c r="C550" s="3"/>
      <c r="D550" s="3"/>
    </row>
    <row r="551">
      <c r="A551" s="3"/>
      <c r="B551" s="3"/>
      <c r="C551" s="3"/>
      <c r="D551" s="3"/>
    </row>
    <row r="552">
      <c r="A552" s="3"/>
      <c r="B552" s="3"/>
      <c r="C552" s="3"/>
      <c r="D552" s="3"/>
    </row>
    <row r="553">
      <c r="A553" s="3"/>
      <c r="B553" s="3"/>
      <c r="C553" s="3"/>
      <c r="D553" s="3"/>
    </row>
    <row r="554">
      <c r="A554" s="3"/>
      <c r="B554" s="3"/>
      <c r="C554" s="3"/>
      <c r="D554" s="3"/>
    </row>
    <row r="555">
      <c r="A555" s="3"/>
      <c r="B555" s="3"/>
      <c r="C555" s="3"/>
      <c r="D555" s="3"/>
    </row>
    <row r="556">
      <c r="A556" s="3"/>
      <c r="B556" s="3"/>
      <c r="C556" s="3"/>
      <c r="D556" s="3"/>
    </row>
    <row r="557">
      <c r="A557" s="3"/>
      <c r="B557" s="3"/>
      <c r="C557" s="3"/>
      <c r="D557" s="3"/>
    </row>
    <row r="558">
      <c r="A558" s="3"/>
      <c r="B558" s="3"/>
      <c r="C558" s="3"/>
      <c r="D558" s="3"/>
    </row>
    <row r="559">
      <c r="A559" s="3"/>
      <c r="B559" s="3"/>
      <c r="C559" s="3"/>
      <c r="D559" s="3"/>
    </row>
    <row r="560">
      <c r="A560" s="3"/>
      <c r="B560" s="3"/>
      <c r="C560" s="3"/>
      <c r="D560" s="3"/>
    </row>
    <row r="561">
      <c r="A561" s="3"/>
      <c r="B561" s="3"/>
      <c r="C561" s="3"/>
      <c r="D561" s="3"/>
    </row>
    <row r="562">
      <c r="A562" s="3"/>
      <c r="B562" s="3"/>
      <c r="C562" s="3"/>
      <c r="D562" s="3"/>
    </row>
    <row r="563">
      <c r="A563" s="3"/>
      <c r="B563" s="3"/>
      <c r="C563" s="3"/>
      <c r="D563" s="3"/>
    </row>
    <row r="564">
      <c r="A564" s="3"/>
      <c r="B564" s="3"/>
      <c r="C564" s="3"/>
      <c r="D564" s="3"/>
    </row>
    <row r="565">
      <c r="A565" s="3"/>
      <c r="B565" s="3"/>
      <c r="C565" s="3"/>
      <c r="D565" s="3"/>
    </row>
    <row r="566">
      <c r="A566" s="3"/>
      <c r="B566" s="3"/>
      <c r="C566" s="3"/>
      <c r="D566" s="3"/>
    </row>
    <row r="567">
      <c r="A567" s="3"/>
      <c r="B567" s="3"/>
      <c r="C567" s="3"/>
      <c r="D567" s="3"/>
    </row>
    <row r="568">
      <c r="A568" s="3"/>
      <c r="B568" s="3"/>
      <c r="C568" s="3"/>
      <c r="D568" s="3"/>
    </row>
    <row r="569">
      <c r="A569" s="3"/>
      <c r="B569" s="3"/>
      <c r="C569" s="3"/>
      <c r="D569" s="3"/>
    </row>
    <row r="570">
      <c r="A570" s="3"/>
      <c r="B570" s="3"/>
      <c r="C570" s="3"/>
      <c r="D570" s="3"/>
    </row>
    <row r="571">
      <c r="A571" s="3"/>
      <c r="B571" s="3"/>
      <c r="C571" s="3"/>
      <c r="D571" s="3"/>
    </row>
    <row r="572">
      <c r="A572" s="3"/>
      <c r="B572" s="3"/>
      <c r="C572" s="3"/>
      <c r="D572" s="3"/>
    </row>
    <row r="573">
      <c r="A573" s="3"/>
      <c r="B573" s="3"/>
      <c r="C573" s="3"/>
      <c r="D573" s="3"/>
    </row>
    <row r="574">
      <c r="A574" s="3"/>
      <c r="B574" s="3"/>
      <c r="C574" s="3"/>
      <c r="D574" s="3"/>
    </row>
    <row r="575">
      <c r="A575" s="3"/>
      <c r="B575" s="3"/>
      <c r="C575" s="3"/>
      <c r="D575" s="3"/>
    </row>
    <row r="576">
      <c r="A576" s="3"/>
      <c r="B576" s="3"/>
      <c r="C576" s="3"/>
      <c r="D576" s="3"/>
    </row>
    <row r="577">
      <c r="A577" s="3"/>
      <c r="B577" s="3"/>
      <c r="C577" s="3"/>
      <c r="D577" s="3"/>
    </row>
    <row r="578">
      <c r="A578" s="3"/>
      <c r="B578" s="3"/>
      <c r="C578" s="3"/>
      <c r="D578" s="3"/>
    </row>
    <row r="579">
      <c r="A579" s="3"/>
      <c r="B579" s="3"/>
      <c r="C579" s="3"/>
      <c r="D579" s="3"/>
    </row>
    <row r="580">
      <c r="A580" s="3"/>
      <c r="B580" s="3"/>
      <c r="C580" s="3"/>
      <c r="D580" s="3"/>
    </row>
    <row r="581">
      <c r="A581" s="3"/>
      <c r="B581" s="3"/>
      <c r="C581" s="3"/>
      <c r="D581" s="3"/>
    </row>
    <row r="582">
      <c r="A582" s="3"/>
      <c r="B582" s="3"/>
      <c r="C582" s="3"/>
      <c r="D582" s="3"/>
    </row>
    <row r="583">
      <c r="A583" s="3"/>
      <c r="B583" s="3"/>
      <c r="C583" s="3"/>
      <c r="D583" s="3"/>
    </row>
    <row r="584">
      <c r="A584" s="3"/>
      <c r="B584" s="3"/>
      <c r="C584" s="3"/>
      <c r="D584" s="3"/>
    </row>
    <row r="585">
      <c r="A585" s="3"/>
      <c r="B585" s="3"/>
      <c r="C585" s="3"/>
      <c r="D585" s="3"/>
    </row>
    <row r="586">
      <c r="A586" s="3"/>
      <c r="B586" s="3"/>
      <c r="C586" s="3"/>
      <c r="D586" s="3"/>
    </row>
    <row r="587">
      <c r="A587" s="3"/>
      <c r="B587" s="3"/>
      <c r="C587" s="3"/>
      <c r="D587" s="3"/>
    </row>
    <row r="588">
      <c r="A588" s="3"/>
      <c r="B588" s="3"/>
      <c r="C588" s="3"/>
      <c r="D588" s="3"/>
    </row>
    <row r="589">
      <c r="A589" s="3"/>
      <c r="B589" s="3"/>
      <c r="C589" s="3"/>
      <c r="D589" s="3"/>
    </row>
    <row r="590">
      <c r="A590" s="3"/>
      <c r="B590" s="3"/>
      <c r="C590" s="3"/>
      <c r="D590" s="3"/>
    </row>
    <row r="591">
      <c r="A591" s="3"/>
      <c r="B591" s="3"/>
      <c r="C591" s="3"/>
      <c r="D591" s="3"/>
    </row>
    <row r="592">
      <c r="A592" s="3"/>
      <c r="B592" s="3"/>
      <c r="C592" s="3"/>
      <c r="D592" s="3"/>
    </row>
    <row r="593">
      <c r="A593" s="3"/>
      <c r="B593" s="3"/>
      <c r="C593" s="3"/>
      <c r="D593" s="3"/>
    </row>
    <row r="594">
      <c r="A594" s="3"/>
      <c r="B594" s="3"/>
      <c r="C594" s="3"/>
      <c r="D594" s="3"/>
    </row>
    <row r="595">
      <c r="A595" s="3"/>
      <c r="B595" s="3"/>
      <c r="C595" s="3"/>
      <c r="D595" s="3"/>
    </row>
    <row r="596">
      <c r="A596" s="3"/>
      <c r="B596" s="3"/>
      <c r="C596" s="3"/>
      <c r="D596" s="3"/>
    </row>
    <row r="597">
      <c r="A597" s="3"/>
      <c r="B597" s="3"/>
      <c r="C597" s="3"/>
      <c r="D597" s="3"/>
    </row>
    <row r="598">
      <c r="A598" s="3"/>
      <c r="B598" s="3"/>
      <c r="C598" s="3"/>
      <c r="D598" s="3"/>
    </row>
    <row r="599">
      <c r="A599" s="3"/>
      <c r="B599" s="3"/>
      <c r="C599" s="3"/>
      <c r="D599" s="3"/>
    </row>
    <row r="600">
      <c r="A600" s="3"/>
      <c r="B600" s="3"/>
      <c r="C600" s="3"/>
      <c r="D600" s="3"/>
    </row>
    <row r="601">
      <c r="A601" s="3"/>
      <c r="B601" s="3"/>
      <c r="C601" s="3"/>
      <c r="D601" s="3"/>
    </row>
    <row r="602">
      <c r="A602" s="3"/>
      <c r="B602" s="3"/>
      <c r="C602" s="3"/>
      <c r="D602" s="3"/>
    </row>
    <row r="603">
      <c r="A603" s="3"/>
      <c r="B603" s="3"/>
      <c r="C603" s="3"/>
      <c r="D603" s="3"/>
    </row>
    <row r="604">
      <c r="A604" s="3"/>
      <c r="B604" s="3"/>
      <c r="C604" s="3"/>
      <c r="D604" s="3"/>
    </row>
    <row r="605">
      <c r="A605" s="3"/>
      <c r="B605" s="3"/>
      <c r="C605" s="3"/>
      <c r="D605" s="3"/>
    </row>
    <row r="606">
      <c r="A606" s="3"/>
      <c r="B606" s="3"/>
      <c r="C606" s="3"/>
      <c r="D606" s="3"/>
    </row>
    <row r="607">
      <c r="A607" s="3"/>
      <c r="B607" s="3"/>
      <c r="C607" s="3"/>
      <c r="D607" s="3"/>
    </row>
    <row r="608">
      <c r="A608" s="3"/>
      <c r="B608" s="3"/>
      <c r="C608" s="3"/>
      <c r="D608" s="3"/>
    </row>
    <row r="609">
      <c r="A609" s="3"/>
      <c r="B609" s="3"/>
      <c r="C609" s="3"/>
      <c r="D609" s="3"/>
    </row>
    <row r="610">
      <c r="A610" s="3"/>
      <c r="B610" s="3"/>
      <c r="C610" s="3"/>
      <c r="D610" s="3"/>
    </row>
    <row r="611">
      <c r="A611" s="3"/>
      <c r="B611" s="3"/>
      <c r="C611" s="3"/>
      <c r="D611" s="3"/>
    </row>
    <row r="612">
      <c r="A612" s="3"/>
      <c r="B612" s="3"/>
      <c r="C612" s="3"/>
      <c r="D612" s="3"/>
    </row>
    <row r="613">
      <c r="A613" s="3"/>
      <c r="B613" s="3"/>
      <c r="C613" s="3"/>
      <c r="D613" s="3"/>
    </row>
    <row r="614">
      <c r="A614" s="3"/>
      <c r="B614" s="3"/>
      <c r="C614" s="3"/>
      <c r="D614" s="3"/>
    </row>
    <row r="615">
      <c r="A615" s="3"/>
      <c r="B615" s="3"/>
      <c r="C615" s="3"/>
      <c r="D615" s="3"/>
    </row>
    <row r="616">
      <c r="A616" s="3"/>
      <c r="B616" s="3"/>
      <c r="C616" s="3"/>
      <c r="D616" s="3"/>
    </row>
    <row r="617">
      <c r="A617" s="3"/>
      <c r="B617" s="3"/>
      <c r="C617" s="3"/>
      <c r="D617" s="3"/>
    </row>
    <row r="618">
      <c r="A618" s="3"/>
      <c r="B618" s="3"/>
      <c r="C618" s="3"/>
      <c r="D618" s="3"/>
    </row>
    <row r="619">
      <c r="A619" s="3"/>
      <c r="B619" s="3"/>
      <c r="C619" s="3"/>
      <c r="D619" s="3"/>
    </row>
    <row r="620">
      <c r="A620" s="3"/>
      <c r="B620" s="3"/>
      <c r="C620" s="3"/>
      <c r="D620" s="3"/>
    </row>
    <row r="621">
      <c r="A621" s="3"/>
      <c r="B621" s="3"/>
      <c r="C621" s="3"/>
      <c r="D621" s="3"/>
    </row>
    <row r="622">
      <c r="A622" s="3"/>
      <c r="B622" s="3"/>
      <c r="C622" s="3"/>
      <c r="D622" s="3"/>
    </row>
    <row r="623">
      <c r="A623" s="3"/>
      <c r="B623" s="3"/>
      <c r="C623" s="3"/>
      <c r="D623" s="3"/>
    </row>
    <row r="624">
      <c r="A624" s="3"/>
      <c r="B624" s="3"/>
      <c r="C624" s="3"/>
      <c r="D624" s="3"/>
    </row>
    <row r="625">
      <c r="A625" s="3"/>
      <c r="B625" s="3"/>
      <c r="C625" s="3"/>
      <c r="D625" s="3"/>
    </row>
    <row r="626">
      <c r="A626" s="3"/>
      <c r="B626" s="3"/>
      <c r="C626" s="3"/>
      <c r="D626" s="3"/>
    </row>
    <row r="627">
      <c r="A627" s="3"/>
      <c r="B627" s="3"/>
      <c r="C627" s="3"/>
      <c r="D627" s="3"/>
    </row>
    <row r="628">
      <c r="A628" s="3"/>
      <c r="B628" s="3"/>
      <c r="C628" s="3"/>
      <c r="D628" s="3"/>
    </row>
    <row r="629">
      <c r="A629" s="3"/>
      <c r="B629" s="3"/>
      <c r="C629" s="3"/>
      <c r="D629" s="3"/>
    </row>
    <row r="630">
      <c r="A630" s="3"/>
      <c r="B630" s="3"/>
      <c r="C630" s="3"/>
      <c r="D630" s="3"/>
    </row>
    <row r="631">
      <c r="A631" s="3"/>
      <c r="B631" s="3"/>
      <c r="C631" s="3"/>
      <c r="D631" s="3"/>
    </row>
    <row r="632">
      <c r="A632" s="3"/>
      <c r="B632" s="3"/>
      <c r="C632" s="3"/>
      <c r="D632" s="3"/>
    </row>
    <row r="633">
      <c r="A633" s="3"/>
      <c r="B633" s="3"/>
      <c r="C633" s="3"/>
      <c r="D633" s="3"/>
    </row>
    <row r="634">
      <c r="A634" s="3"/>
      <c r="B634" s="3"/>
      <c r="C634" s="3"/>
      <c r="D634" s="3"/>
    </row>
    <row r="635">
      <c r="A635" s="3"/>
      <c r="B635" s="3"/>
      <c r="C635" s="3"/>
      <c r="D635" s="3"/>
    </row>
    <row r="636">
      <c r="A636" s="3"/>
      <c r="B636" s="3"/>
      <c r="C636" s="3"/>
      <c r="D636" s="3"/>
    </row>
    <row r="637">
      <c r="A637" s="3"/>
      <c r="B637" s="3"/>
      <c r="C637" s="3"/>
      <c r="D637" s="3"/>
    </row>
    <row r="638">
      <c r="A638" s="3"/>
      <c r="B638" s="3"/>
      <c r="C638" s="3"/>
      <c r="D638" s="3"/>
    </row>
    <row r="639">
      <c r="A639" s="3"/>
      <c r="B639" s="3"/>
      <c r="C639" s="3"/>
      <c r="D639" s="3"/>
    </row>
    <row r="640">
      <c r="A640" s="3"/>
      <c r="B640" s="3"/>
      <c r="C640" s="3"/>
      <c r="D640" s="3"/>
    </row>
    <row r="641">
      <c r="A641" s="3"/>
      <c r="B641" s="3"/>
      <c r="C641" s="3"/>
      <c r="D641" s="3"/>
    </row>
    <row r="642">
      <c r="A642" s="3"/>
      <c r="B642" s="3"/>
      <c r="C642" s="3"/>
      <c r="D642" s="3"/>
    </row>
    <row r="643">
      <c r="A643" s="3"/>
      <c r="B643" s="3"/>
      <c r="C643" s="3"/>
      <c r="D643" s="3"/>
    </row>
    <row r="644">
      <c r="A644" s="3"/>
      <c r="B644" s="3"/>
      <c r="C644" s="3"/>
      <c r="D644" s="3"/>
    </row>
    <row r="645">
      <c r="A645" s="3"/>
      <c r="B645" s="3"/>
      <c r="C645" s="3"/>
      <c r="D645" s="3"/>
    </row>
    <row r="646">
      <c r="A646" s="3"/>
      <c r="B646" s="3"/>
      <c r="C646" s="3"/>
      <c r="D646" s="3"/>
    </row>
    <row r="647">
      <c r="A647" s="3"/>
      <c r="B647" s="3"/>
      <c r="C647" s="3"/>
      <c r="D647" s="3"/>
    </row>
    <row r="648">
      <c r="A648" s="3"/>
      <c r="B648" s="3"/>
      <c r="C648" s="3"/>
      <c r="D648" s="3"/>
    </row>
    <row r="649">
      <c r="A649" s="3"/>
      <c r="B649" s="3"/>
      <c r="C649" s="3"/>
      <c r="D649" s="3"/>
    </row>
    <row r="650">
      <c r="A650" s="3"/>
      <c r="B650" s="3"/>
      <c r="C650" s="3"/>
      <c r="D650" s="3"/>
    </row>
    <row r="651">
      <c r="A651" s="3"/>
      <c r="B651" s="3"/>
      <c r="C651" s="3"/>
      <c r="D651" s="3"/>
    </row>
    <row r="652">
      <c r="A652" s="3"/>
      <c r="B652" s="3"/>
      <c r="C652" s="3"/>
      <c r="D652" s="3"/>
    </row>
    <row r="653">
      <c r="A653" s="3"/>
      <c r="B653" s="3"/>
      <c r="C653" s="3"/>
      <c r="D653" s="3"/>
    </row>
    <row r="654">
      <c r="A654" s="3"/>
      <c r="B654" s="3"/>
      <c r="C654" s="3"/>
      <c r="D654" s="3"/>
    </row>
    <row r="655">
      <c r="A655" s="3"/>
      <c r="B655" s="3"/>
      <c r="C655" s="3"/>
      <c r="D655" s="3"/>
    </row>
    <row r="656">
      <c r="A656" s="3"/>
      <c r="B656" s="3"/>
      <c r="C656" s="3"/>
      <c r="D656" s="3"/>
    </row>
    <row r="657">
      <c r="A657" s="3"/>
      <c r="B657" s="3"/>
      <c r="C657" s="3"/>
      <c r="D657" s="3"/>
    </row>
    <row r="658">
      <c r="A658" s="3"/>
      <c r="B658" s="3"/>
      <c r="C658" s="3"/>
      <c r="D658" s="3"/>
    </row>
    <row r="659">
      <c r="A659" s="3"/>
      <c r="B659" s="3"/>
      <c r="C659" s="3"/>
      <c r="D659" s="3"/>
    </row>
    <row r="660">
      <c r="A660" s="3"/>
      <c r="B660" s="3"/>
      <c r="C660" s="3"/>
      <c r="D660" s="3"/>
    </row>
    <row r="661">
      <c r="A661" s="3"/>
      <c r="B661" s="3"/>
      <c r="C661" s="3"/>
      <c r="D661" s="3"/>
    </row>
    <row r="662">
      <c r="A662" s="3"/>
      <c r="B662" s="3"/>
      <c r="C662" s="3"/>
      <c r="D662" s="3"/>
    </row>
    <row r="663">
      <c r="A663" s="3"/>
      <c r="B663" s="3"/>
      <c r="C663" s="3"/>
      <c r="D663" s="3"/>
    </row>
    <row r="664">
      <c r="A664" s="3"/>
      <c r="B664" s="3"/>
      <c r="C664" s="3"/>
      <c r="D664" s="3"/>
    </row>
    <row r="665">
      <c r="A665" s="3"/>
      <c r="B665" s="3"/>
      <c r="C665" s="3"/>
      <c r="D665" s="3"/>
    </row>
    <row r="666">
      <c r="A666" s="3"/>
      <c r="B666" s="3"/>
      <c r="C666" s="3"/>
      <c r="D666" s="3"/>
    </row>
    <row r="667">
      <c r="A667" s="3"/>
      <c r="B667" s="3"/>
      <c r="C667" s="3"/>
      <c r="D667" s="3"/>
    </row>
    <row r="668">
      <c r="A668" s="3"/>
      <c r="B668" s="3"/>
      <c r="C668" s="3"/>
      <c r="D668" s="3"/>
    </row>
    <row r="669">
      <c r="A669" s="3"/>
      <c r="B669" s="3"/>
      <c r="C669" s="3"/>
      <c r="D669" s="3"/>
    </row>
    <row r="670">
      <c r="A670" s="3"/>
      <c r="B670" s="3"/>
      <c r="C670" s="3"/>
      <c r="D670" s="3"/>
    </row>
    <row r="671">
      <c r="A671" s="3"/>
      <c r="B671" s="3"/>
      <c r="C671" s="3"/>
      <c r="D671" s="3"/>
    </row>
    <row r="672">
      <c r="A672" s="3"/>
      <c r="B672" s="3"/>
      <c r="C672" s="3"/>
      <c r="D672" s="3"/>
    </row>
    <row r="673">
      <c r="A673" s="3"/>
      <c r="B673" s="3"/>
      <c r="C673" s="3"/>
      <c r="D673" s="3"/>
    </row>
    <row r="674">
      <c r="A674" s="3"/>
      <c r="B674" s="3"/>
      <c r="C674" s="3"/>
      <c r="D674" s="3"/>
    </row>
    <row r="675">
      <c r="A675" s="3"/>
      <c r="B675" s="3"/>
      <c r="C675" s="3"/>
      <c r="D675" s="3"/>
    </row>
    <row r="676">
      <c r="A676" s="3"/>
      <c r="B676" s="3"/>
      <c r="C676" s="3"/>
      <c r="D676" s="3"/>
    </row>
    <row r="677">
      <c r="A677" s="3"/>
      <c r="B677" s="3"/>
      <c r="C677" s="3"/>
      <c r="D677" s="3"/>
    </row>
    <row r="678">
      <c r="A678" s="3"/>
      <c r="B678" s="3"/>
      <c r="C678" s="3"/>
      <c r="D678" s="3"/>
    </row>
    <row r="679">
      <c r="A679" s="3"/>
      <c r="B679" s="3"/>
      <c r="C679" s="3"/>
      <c r="D679" s="3"/>
    </row>
    <row r="680">
      <c r="A680" s="3"/>
      <c r="B680" s="3"/>
      <c r="C680" s="3"/>
      <c r="D680" s="3"/>
    </row>
    <row r="681">
      <c r="A681" s="3"/>
      <c r="B681" s="3"/>
      <c r="C681" s="3"/>
      <c r="D681" s="3"/>
    </row>
    <row r="682">
      <c r="A682" s="3"/>
      <c r="B682" s="3"/>
      <c r="C682" s="3"/>
      <c r="D682" s="3"/>
    </row>
    <row r="683">
      <c r="A683" s="3"/>
      <c r="B683" s="3"/>
      <c r="C683" s="3"/>
      <c r="D683" s="3"/>
    </row>
    <row r="684">
      <c r="A684" s="3"/>
      <c r="B684" s="3"/>
      <c r="C684" s="3"/>
      <c r="D684" s="3"/>
    </row>
    <row r="685">
      <c r="A685" s="3"/>
      <c r="B685" s="3"/>
      <c r="C685" s="3"/>
      <c r="D685" s="3"/>
    </row>
    <row r="686">
      <c r="A686" s="3"/>
      <c r="B686" s="3"/>
      <c r="C686" s="3"/>
      <c r="D686" s="3"/>
    </row>
    <row r="687">
      <c r="A687" s="3"/>
      <c r="B687" s="3"/>
      <c r="C687" s="3"/>
      <c r="D687" s="3"/>
    </row>
    <row r="688">
      <c r="A688" s="3"/>
      <c r="B688" s="3"/>
      <c r="C688" s="3"/>
      <c r="D688" s="3"/>
    </row>
    <row r="689">
      <c r="A689" s="3"/>
      <c r="B689" s="3"/>
      <c r="C689" s="3"/>
      <c r="D689" s="3"/>
    </row>
    <row r="690">
      <c r="A690" s="3"/>
      <c r="B690" s="3"/>
      <c r="C690" s="3"/>
      <c r="D690" s="3"/>
    </row>
    <row r="691">
      <c r="A691" s="3"/>
      <c r="B691" s="3"/>
      <c r="C691" s="3"/>
      <c r="D691" s="3"/>
    </row>
    <row r="692">
      <c r="A692" s="3"/>
      <c r="B692" s="3"/>
      <c r="C692" s="3"/>
      <c r="D692" s="3"/>
    </row>
    <row r="693">
      <c r="A693" s="3"/>
      <c r="B693" s="3"/>
      <c r="C693" s="3"/>
      <c r="D693" s="3"/>
    </row>
    <row r="694">
      <c r="A694" s="3"/>
      <c r="B694" s="3"/>
      <c r="C694" s="3"/>
      <c r="D694" s="3"/>
    </row>
    <row r="695">
      <c r="A695" s="3"/>
      <c r="B695" s="3"/>
      <c r="C695" s="3"/>
      <c r="D695" s="3"/>
    </row>
    <row r="696">
      <c r="A696" s="3"/>
      <c r="B696" s="3"/>
      <c r="C696" s="3"/>
      <c r="D696" s="3"/>
    </row>
    <row r="697">
      <c r="A697" s="3"/>
      <c r="B697" s="3"/>
      <c r="C697" s="3"/>
      <c r="D697" s="3"/>
    </row>
    <row r="698">
      <c r="A698" s="3"/>
      <c r="B698" s="3"/>
      <c r="C698" s="3"/>
      <c r="D698" s="3"/>
    </row>
    <row r="699">
      <c r="A699" s="3"/>
      <c r="B699" s="3"/>
      <c r="C699" s="3"/>
      <c r="D699" s="3"/>
    </row>
    <row r="700">
      <c r="A700" s="3"/>
      <c r="B700" s="3"/>
      <c r="C700" s="3"/>
      <c r="D700" s="3"/>
    </row>
    <row r="701">
      <c r="A701" s="3"/>
      <c r="B701" s="3"/>
      <c r="C701" s="3"/>
      <c r="D701" s="3"/>
    </row>
    <row r="702">
      <c r="A702" s="3"/>
      <c r="B702" s="3"/>
      <c r="C702" s="3"/>
      <c r="D702" s="3"/>
    </row>
    <row r="703">
      <c r="A703" s="3"/>
      <c r="B703" s="3"/>
      <c r="C703" s="3"/>
      <c r="D703" s="3"/>
    </row>
    <row r="704">
      <c r="A704" s="3"/>
      <c r="B704" s="3"/>
      <c r="C704" s="3"/>
      <c r="D704" s="3"/>
    </row>
    <row r="705">
      <c r="A705" s="3"/>
      <c r="B705" s="3"/>
      <c r="C705" s="3"/>
      <c r="D705" s="3"/>
    </row>
    <row r="706">
      <c r="A706" s="3"/>
      <c r="B706" s="3"/>
      <c r="C706" s="3"/>
      <c r="D706" s="3"/>
    </row>
    <row r="707">
      <c r="A707" s="3"/>
      <c r="B707" s="3"/>
      <c r="C707" s="3"/>
      <c r="D707" s="3"/>
    </row>
    <row r="708">
      <c r="A708" s="3"/>
      <c r="B708" s="3"/>
      <c r="C708" s="3"/>
      <c r="D708" s="3"/>
    </row>
    <row r="709">
      <c r="A709" s="3"/>
      <c r="B709" s="3"/>
      <c r="C709" s="3"/>
      <c r="D709" s="3"/>
    </row>
    <row r="710">
      <c r="A710" s="3"/>
      <c r="B710" s="3"/>
      <c r="C710" s="3"/>
      <c r="D710" s="3"/>
    </row>
    <row r="711">
      <c r="A711" s="3"/>
      <c r="B711" s="3"/>
      <c r="C711" s="3"/>
      <c r="D711" s="3"/>
    </row>
    <row r="712">
      <c r="A712" s="3"/>
      <c r="B712" s="3"/>
      <c r="C712" s="3"/>
      <c r="D712" s="3"/>
    </row>
    <row r="713">
      <c r="A713" s="3"/>
      <c r="B713" s="3"/>
      <c r="C713" s="3"/>
      <c r="D713" s="3"/>
    </row>
    <row r="714">
      <c r="A714" s="3"/>
      <c r="B714" s="3"/>
      <c r="C714" s="3"/>
      <c r="D714" s="3"/>
    </row>
    <row r="715">
      <c r="A715" s="3"/>
      <c r="B715" s="3"/>
      <c r="C715" s="3"/>
      <c r="D715" s="3"/>
    </row>
    <row r="716">
      <c r="A716" s="3"/>
      <c r="B716" s="3"/>
      <c r="C716" s="3"/>
      <c r="D716" s="3"/>
    </row>
    <row r="717">
      <c r="A717" s="3"/>
      <c r="B717" s="3"/>
      <c r="C717" s="3"/>
      <c r="D717" s="3"/>
    </row>
    <row r="718">
      <c r="A718" s="3"/>
      <c r="B718" s="3"/>
      <c r="C718" s="3"/>
      <c r="D718" s="3"/>
    </row>
    <row r="719">
      <c r="A719" s="3"/>
      <c r="B719" s="3"/>
      <c r="C719" s="3"/>
      <c r="D719" s="3"/>
    </row>
    <row r="720">
      <c r="A720" s="3"/>
      <c r="B720" s="3"/>
      <c r="C720" s="3"/>
      <c r="D720" s="3"/>
    </row>
    <row r="721">
      <c r="A721" s="3"/>
      <c r="B721" s="3"/>
      <c r="C721" s="3"/>
      <c r="D721" s="3"/>
    </row>
    <row r="722">
      <c r="A722" s="3"/>
      <c r="B722" s="3"/>
      <c r="C722" s="3"/>
      <c r="D722" s="3"/>
    </row>
    <row r="723">
      <c r="A723" s="3"/>
      <c r="B723" s="3"/>
      <c r="C723" s="3"/>
      <c r="D723" s="3"/>
    </row>
    <row r="724">
      <c r="A724" s="3"/>
      <c r="B724" s="3"/>
      <c r="C724" s="3"/>
      <c r="D724" s="3"/>
    </row>
    <row r="725">
      <c r="A725" s="3"/>
      <c r="B725" s="3"/>
      <c r="C725" s="3"/>
      <c r="D725" s="3"/>
    </row>
    <row r="726">
      <c r="A726" s="3"/>
      <c r="B726" s="3"/>
      <c r="C726" s="3"/>
      <c r="D726" s="3"/>
    </row>
    <row r="727">
      <c r="A727" s="3"/>
      <c r="B727" s="3"/>
      <c r="C727" s="3"/>
      <c r="D727" s="3"/>
    </row>
    <row r="728">
      <c r="A728" s="3"/>
      <c r="B728" s="3"/>
      <c r="C728" s="3"/>
      <c r="D728" s="3"/>
    </row>
    <row r="729">
      <c r="A729" s="3"/>
      <c r="B729" s="3"/>
      <c r="C729" s="3"/>
      <c r="D729" s="3"/>
    </row>
    <row r="730">
      <c r="A730" s="3"/>
      <c r="B730" s="3"/>
      <c r="C730" s="3"/>
      <c r="D730" s="3"/>
    </row>
    <row r="731">
      <c r="A731" s="3"/>
      <c r="B731" s="3"/>
      <c r="C731" s="3"/>
      <c r="D731" s="3"/>
    </row>
    <row r="732">
      <c r="A732" s="3"/>
      <c r="B732" s="3"/>
      <c r="C732" s="3"/>
      <c r="D732" s="3"/>
    </row>
    <row r="733">
      <c r="A733" s="3"/>
      <c r="B733" s="3"/>
      <c r="C733" s="3"/>
      <c r="D733" s="3"/>
    </row>
    <row r="734">
      <c r="A734" s="3"/>
      <c r="B734" s="3"/>
      <c r="C734" s="3"/>
      <c r="D734" s="3"/>
    </row>
    <row r="735">
      <c r="A735" s="3"/>
      <c r="B735" s="3"/>
      <c r="C735" s="3"/>
      <c r="D735" s="3"/>
    </row>
    <row r="736">
      <c r="A736" s="3"/>
      <c r="B736" s="3"/>
      <c r="C736" s="3"/>
      <c r="D736" s="3"/>
    </row>
    <row r="737">
      <c r="A737" s="3"/>
      <c r="B737" s="3"/>
      <c r="C737" s="3"/>
      <c r="D737" s="3"/>
    </row>
    <row r="738">
      <c r="A738" s="3"/>
      <c r="B738" s="3"/>
      <c r="C738" s="3"/>
      <c r="D738" s="3"/>
    </row>
    <row r="739">
      <c r="A739" s="3"/>
      <c r="B739" s="3"/>
      <c r="C739" s="3"/>
      <c r="D739" s="3"/>
    </row>
    <row r="740">
      <c r="A740" s="3"/>
      <c r="B740" s="3"/>
      <c r="C740" s="3"/>
      <c r="D740" s="3"/>
    </row>
    <row r="741">
      <c r="A741" s="3"/>
      <c r="B741" s="3"/>
      <c r="C741" s="3"/>
      <c r="D741" s="3"/>
    </row>
    <row r="742">
      <c r="A742" s="3"/>
      <c r="B742" s="3"/>
      <c r="C742" s="3"/>
      <c r="D742" s="3"/>
    </row>
    <row r="743">
      <c r="A743" s="3"/>
      <c r="B743" s="3"/>
      <c r="C743" s="3"/>
      <c r="D743" s="3"/>
    </row>
    <row r="744">
      <c r="A744" s="3"/>
      <c r="B744" s="3"/>
      <c r="C744" s="3"/>
      <c r="D744" s="3"/>
    </row>
    <row r="745">
      <c r="A745" s="3"/>
      <c r="B745" s="3"/>
      <c r="C745" s="3"/>
      <c r="D745" s="3"/>
    </row>
    <row r="746">
      <c r="A746" s="3"/>
      <c r="B746" s="3"/>
      <c r="C746" s="3"/>
      <c r="D746" s="3"/>
    </row>
    <row r="747">
      <c r="A747" s="3"/>
      <c r="B747" s="3"/>
      <c r="C747" s="3"/>
      <c r="D747" s="3"/>
    </row>
    <row r="748">
      <c r="A748" s="3"/>
      <c r="B748" s="3"/>
      <c r="C748" s="3"/>
      <c r="D748" s="3"/>
    </row>
    <row r="749">
      <c r="A749" s="3"/>
      <c r="B749" s="3"/>
      <c r="C749" s="3"/>
      <c r="D749" s="3"/>
    </row>
    <row r="750">
      <c r="A750" s="3"/>
      <c r="B750" s="3"/>
      <c r="C750" s="3"/>
      <c r="D750" s="3"/>
    </row>
    <row r="751">
      <c r="A751" s="3"/>
      <c r="B751" s="3"/>
      <c r="C751" s="3"/>
      <c r="D751" s="3"/>
    </row>
    <row r="752">
      <c r="A752" s="3"/>
      <c r="B752" s="3"/>
      <c r="C752" s="3"/>
      <c r="D752" s="3"/>
    </row>
    <row r="753">
      <c r="A753" s="3"/>
      <c r="B753" s="3"/>
      <c r="C753" s="3"/>
      <c r="D753" s="3"/>
    </row>
    <row r="754">
      <c r="A754" s="3"/>
      <c r="B754" s="3"/>
      <c r="C754" s="3"/>
      <c r="D754" s="3"/>
    </row>
    <row r="755">
      <c r="A755" s="3"/>
      <c r="B755" s="3"/>
      <c r="C755" s="3"/>
      <c r="D755" s="3"/>
    </row>
    <row r="756">
      <c r="A756" s="3"/>
      <c r="B756" s="3"/>
      <c r="C756" s="3"/>
      <c r="D756" s="3"/>
    </row>
    <row r="757">
      <c r="A757" s="3"/>
      <c r="B757" s="3"/>
      <c r="C757" s="3"/>
      <c r="D757" s="3"/>
    </row>
    <row r="758">
      <c r="A758" s="3"/>
      <c r="B758" s="3"/>
      <c r="C758" s="3"/>
      <c r="D758" s="3"/>
    </row>
    <row r="759">
      <c r="A759" s="3"/>
      <c r="B759" s="3"/>
      <c r="C759" s="3"/>
      <c r="D759" s="3"/>
    </row>
    <row r="760">
      <c r="A760" s="3"/>
      <c r="B760" s="3"/>
      <c r="C760" s="3"/>
      <c r="D760" s="3"/>
    </row>
    <row r="761">
      <c r="A761" s="3"/>
      <c r="B761" s="3"/>
      <c r="C761" s="3"/>
      <c r="D761" s="3"/>
    </row>
    <row r="762">
      <c r="A762" s="3"/>
      <c r="B762" s="3"/>
      <c r="C762" s="3"/>
      <c r="D762" s="3"/>
    </row>
    <row r="763">
      <c r="A763" s="3"/>
      <c r="B763" s="3"/>
      <c r="C763" s="3"/>
      <c r="D763" s="3"/>
    </row>
    <row r="764">
      <c r="A764" s="3"/>
      <c r="B764" s="3"/>
      <c r="C764" s="3"/>
      <c r="D764" s="3"/>
    </row>
    <row r="765">
      <c r="A765" s="3"/>
      <c r="B765" s="3"/>
      <c r="C765" s="3"/>
      <c r="D765" s="3"/>
    </row>
    <row r="766">
      <c r="A766" s="3"/>
      <c r="B766" s="3"/>
      <c r="C766" s="3"/>
      <c r="D766" s="3"/>
    </row>
    <row r="767">
      <c r="A767" s="3"/>
      <c r="B767" s="3"/>
      <c r="C767" s="3"/>
      <c r="D767" s="3"/>
    </row>
    <row r="768">
      <c r="A768" s="3"/>
      <c r="B768" s="3"/>
      <c r="C768" s="3"/>
      <c r="D768" s="3"/>
    </row>
    <row r="769">
      <c r="A769" s="3"/>
      <c r="B769" s="3"/>
      <c r="C769" s="3"/>
      <c r="D769" s="3"/>
    </row>
    <row r="770">
      <c r="A770" s="3"/>
      <c r="B770" s="3"/>
      <c r="C770" s="3"/>
      <c r="D770" s="3"/>
    </row>
    <row r="771">
      <c r="A771" s="3"/>
      <c r="B771" s="3"/>
      <c r="C771" s="3"/>
      <c r="D771" s="3"/>
    </row>
    <row r="772">
      <c r="A772" s="3"/>
      <c r="B772" s="3"/>
      <c r="C772" s="3"/>
      <c r="D772" s="3"/>
    </row>
    <row r="773">
      <c r="A773" s="3"/>
      <c r="B773" s="3"/>
      <c r="C773" s="3"/>
      <c r="D773" s="3"/>
    </row>
    <row r="774">
      <c r="A774" s="3"/>
      <c r="B774" s="3"/>
      <c r="C774" s="3"/>
      <c r="D774" s="3"/>
    </row>
    <row r="775">
      <c r="A775" s="3"/>
      <c r="B775" s="3"/>
      <c r="C775" s="3"/>
      <c r="D775" s="3"/>
    </row>
    <row r="776">
      <c r="A776" s="3"/>
      <c r="B776" s="3"/>
      <c r="C776" s="3"/>
      <c r="D776" s="3"/>
    </row>
    <row r="777">
      <c r="A777" s="3"/>
      <c r="B777" s="3"/>
      <c r="C777" s="3"/>
      <c r="D777" s="3"/>
    </row>
    <row r="778">
      <c r="A778" s="3"/>
      <c r="B778" s="3"/>
      <c r="C778" s="3"/>
      <c r="D778" s="3"/>
    </row>
    <row r="779">
      <c r="A779" s="3"/>
      <c r="B779" s="3"/>
      <c r="C779" s="3"/>
      <c r="D779" s="3"/>
    </row>
    <row r="780">
      <c r="A780" s="3"/>
      <c r="B780" s="3"/>
      <c r="C780" s="3"/>
      <c r="D780" s="3"/>
    </row>
    <row r="781">
      <c r="A781" s="3"/>
      <c r="B781" s="3"/>
      <c r="C781" s="3"/>
      <c r="D781" s="3"/>
    </row>
    <row r="782">
      <c r="A782" s="3"/>
      <c r="B782" s="3"/>
      <c r="C782" s="3"/>
      <c r="D782" s="3"/>
    </row>
    <row r="783">
      <c r="A783" s="3"/>
      <c r="B783" s="3"/>
      <c r="C783" s="3"/>
      <c r="D783" s="3"/>
    </row>
    <row r="784">
      <c r="A784" s="3"/>
      <c r="B784" s="3"/>
      <c r="C784" s="3"/>
      <c r="D784" s="3"/>
    </row>
    <row r="785">
      <c r="A785" s="3"/>
      <c r="B785" s="3"/>
      <c r="C785" s="3"/>
      <c r="D785" s="3"/>
    </row>
    <row r="786">
      <c r="A786" s="3"/>
      <c r="B786" s="3"/>
      <c r="C786" s="3"/>
      <c r="D786" s="3"/>
    </row>
    <row r="787">
      <c r="A787" s="3"/>
      <c r="B787" s="3"/>
      <c r="C787" s="3"/>
      <c r="D787" s="3"/>
    </row>
    <row r="788">
      <c r="A788" s="3"/>
      <c r="B788" s="3"/>
      <c r="C788" s="3"/>
      <c r="D788" s="3"/>
    </row>
    <row r="789">
      <c r="A789" s="3"/>
      <c r="B789" s="3"/>
      <c r="C789" s="3"/>
      <c r="D789" s="3"/>
    </row>
    <row r="790">
      <c r="A790" s="3"/>
      <c r="B790" s="3"/>
      <c r="C790" s="3"/>
      <c r="D790" s="3"/>
    </row>
    <row r="791">
      <c r="A791" s="3"/>
      <c r="B791" s="3"/>
      <c r="C791" s="3"/>
      <c r="D791" s="3"/>
    </row>
    <row r="792">
      <c r="A792" s="3"/>
      <c r="B792" s="3"/>
      <c r="C792" s="3"/>
      <c r="D792" s="3"/>
    </row>
    <row r="793">
      <c r="A793" s="3"/>
      <c r="B793" s="3"/>
      <c r="C793" s="3"/>
      <c r="D793" s="3"/>
    </row>
    <row r="794">
      <c r="A794" s="3"/>
      <c r="B794" s="3"/>
      <c r="C794" s="3"/>
      <c r="D794" s="3"/>
    </row>
    <row r="795">
      <c r="A795" s="3"/>
      <c r="B795" s="3"/>
      <c r="C795" s="3"/>
      <c r="D795" s="3"/>
    </row>
    <row r="796">
      <c r="A796" s="3"/>
      <c r="B796" s="3"/>
      <c r="C796" s="3"/>
      <c r="D796" s="3"/>
    </row>
    <row r="797">
      <c r="A797" s="3"/>
      <c r="B797" s="3"/>
      <c r="C797" s="3"/>
      <c r="D797" s="3"/>
    </row>
    <row r="798">
      <c r="A798" s="3"/>
      <c r="B798" s="3"/>
      <c r="C798" s="3"/>
      <c r="D798" s="3"/>
    </row>
    <row r="799">
      <c r="A799" s="3"/>
      <c r="B799" s="3"/>
      <c r="C799" s="3"/>
      <c r="D799" s="3"/>
    </row>
    <row r="800">
      <c r="A800" s="3"/>
      <c r="B800" s="3"/>
      <c r="C800" s="3"/>
      <c r="D800" s="3"/>
    </row>
    <row r="801">
      <c r="A801" s="3"/>
      <c r="B801" s="3"/>
      <c r="C801" s="3"/>
      <c r="D801" s="3"/>
    </row>
    <row r="802">
      <c r="A802" s="3"/>
      <c r="B802" s="3"/>
      <c r="C802" s="3"/>
      <c r="D802" s="3"/>
    </row>
    <row r="803">
      <c r="A803" s="3"/>
      <c r="B803" s="3"/>
      <c r="C803" s="3"/>
      <c r="D803" s="3"/>
    </row>
    <row r="804">
      <c r="A804" s="3"/>
      <c r="B804" s="3"/>
      <c r="C804" s="3"/>
      <c r="D804" s="3"/>
    </row>
    <row r="805">
      <c r="A805" s="3"/>
      <c r="B805" s="3"/>
      <c r="C805" s="3"/>
      <c r="D805" s="3"/>
    </row>
    <row r="806">
      <c r="A806" s="3"/>
      <c r="B806" s="3"/>
      <c r="C806" s="3"/>
      <c r="D806" s="3"/>
    </row>
    <row r="807">
      <c r="A807" s="3"/>
      <c r="B807" s="3"/>
      <c r="C807" s="3"/>
      <c r="D807" s="3"/>
    </row>
    <row r="808">
      <c r="A808" s="3"/>
      <c r="B808" s="3"/>
      <c r="C808" s="3"/>
      <c r="D808" s="3"/>
    </row>
    <row r="809">
      <c r="A809" s="3"/>
      <c r="B809" s="3"/>
      <c r="C809" s="3"/>
      <c r="D809" s="3"/>
    </row>
    <row r="810">
      <c r="A810" s="3"/>
      <c r="B810" s="3"/>
      <c r="C810" s="3"/>
      <c r="D810" s="3"/>
    </row>
    <row r="811">
      <c r="A811" s="3"/>
      <c r="B811" s="3"/>
      <c r="C811" s="3"/>
      <c r="D811" s="3"/>
    </row>
    <row r="812">
      <c r="A812" s="3"/>
      <c r="B812" s="3"/>
      <c r="C812" s="3"/>
      <c r="D812" s="3"/>
    </row>
    <row r="813">
      <c r="A813" s="3"/>
      <c r="B813" s="3"/>
      <c r="C813" s="3"/>
      <c r="D813" s="3"/>
    </row>
    <row r="814">
      <c r="A814" s="3"/>
      <c r="B814" s="3"/>
      <c r="C814" s="3"/>
      <c r="D814" s="3"/>
    </row>
    <row r="815">
      <c r="A815" s="3"/>
      <c r="B815" s="3"/>
      <c r="C815" s="3"/>
      <c r="D815" s="3"/>
    </row>
    <row r="816">
      <c r="A816" s="3"/>
      <c r="B816" s="3"/>
      <c r="C816" s="3"/>
      <c r="D816" s="3"/>
    </row>
    <row r="817">
      <c r="A817" s="3"/>
      <c r="B817" s="3"/>
      <c r="C817" s="3"/>
      <c r="D817" s="3"/>
    </row>
    <row r="818">
      <c r="A818" s="3"/>
      <c r="B818" s="3"/>
      <c r="C818" s="3"/>
      <c r="D818" s="3"/>
    </row>
    <row r="819">
      <c r="A819" s="3"/>
      <c r="B819" s="3"/>
      <c r="C819" s="3"/>
      <c r="D819" s="3"/>
    </row>
    <row r="820">
      <c r="A820" s="3"/>
      <c r="B820" s="3"/>
      <c r="C820" s="3"/>
      <c r="D820" s="3"/>
    </row>
    <row r="821">
      <c r="A821" s="3"/>
      <c r="B821" s="3"/>
      <c r="C821" s="3"/>
      <c r="D821" s="3"/>
    </row>
    <row r="822">
      <c r="A822" s="3"/>
      <c r="B822" s="3"/>
      <c r="C822" s="3"/>
      <c r="D822" s="3"/>
    </row>
    <row r="823">
      <c r="A823" s="3"/>
      <c r="B823" s="3"/>
      <c r="C823" s="3"/>
      <c r="D823" s="3"/>
    </row>
    <row r="824">
      <c r="A824" s="3"/>
      <c r="B824" s="3"/>
      <c r="C824" s="3"/>
      <c r="D824" s="3"/>
    </row>
    <row r="825">
      <c r="A825" s="3"/>
      <c r="B825" s="3"/>
      <c r="C825" s="3"/>
      <c r="D825" s="3"/>
    </row>
    <row r="826">
      <c r="A826" s="3"/>
      <c r="B826" s="3"/>
      <c r="C826" s="3"/>
      <c r="D826" s="3"/>
    </row>
    <row r="827">
      <c r="A827" s="3"/>
      <c r="B827" s="3"/>
      <c r="C827" s="3"/>
      <c r="D827" s="3"/>
    </row>
    <row r="828">
      <c r="A828" s="3"/>
      <c r="B828" s="3"/>
      <c r="C828" s="3"/>
      <c r="D828" s="3"/>
    </row>
    <row r="829">
      <c r="A829" s="3"/>
      <c r="B829" s="3"/>
      <c r="C829" s="3"/>
      <c r="D829" s="3"/>
    </row>
    <row r="830">
      <c r="A830" s="3"/>
      <c r="B830" s="3"/>
      <c r="C830" s="3"/>
      <c r="D830" s="3"/>
    </row>
    <row r="831">
      <c r="A831" s="3"/>
      <c r="B831" s="3"/>
      <c r="C831" s="3"/>
      <c r="D831" s="3"/>
    </row>
    <row r="832">
      <c r="A832" s="3"/>
      <c r="B832" s="3"/>
      <c r="C832" s="3"/>
      <c r="D832" s="3"/>
    </row>
    <row r="833">
      <c r="A833" s="3"/>
      <c r="B833" s="3"/>
      <c r="C833" s="3"/>
      <c r="D833" s="3"/>
    </row>
    <row r="834">
      <c r="A834" s="3"/>
      <c r="B834" s="3"/>
      <c r="C834" s="3"/>
      <c r="D834" s="3"/>
    </row>
    <row r="835">
      <c r="A835" s="3"/>
      <c r="B835" s="3"/>
      <c r="C835" s="3"/>
      <c r="D835" s="3"/>
    </row>
    <row r="836">
      <c r="A836" s="3"/>
      <c r="B836" s="3"/>
      <c r="C836" s="3"/>
      <c r="D836" s="3"/>
    </row>
    <row r="837">
      <c r="A837" s="3"/>
      <c r="B837" s="3"/>
      <c r="C837" s="3"/>
      <c r="D837" s="3"/>
    </row>
    <row r="838">
      <c r="A838" s="3"/>
      <c r="B838" s="3"/>
      <c r="C838" s="3"/>
      <c r="D838" s="3"/>
    </row>
    <row r="839">
      <c r="A839" s="3"/>
      <c r="B839" s="3"/>
      <c r="C839" s="3"/>
      <c r="D839" s="3"/>
    </row>
    <row r="840">
      <c r="A840" s="3"/>
      <c r="B840" s="3"/>
      <c r="C840" s="3"/>
      <c r="D840" s="3"/>
    </row>
    <row r="841">
      <c r="A841" s="3"/>
      <c r="B841" s="3"/>
      <c r="C841" s="3"/>
      <c r="D841" s="3"/>
    </row>
    <row r="842">
      <c r="A842" s="3"/>
      <c r="B842" s="3"/>
      <c r="C842" s="3"/>
      <c r="D842" s="3"/>
    </row>
    <row r="843">
      <c r="A843" s="3"/>
      <c r="B843" s="3"/>
      <c r="C843" s="3"/>
      <c r="D843" s="3"/>
    </row>
    <row r="844">
      <c r="A844" s="3"/>
      <c r="B844" s="3"/>
      <c r="C844" s="3"/>
      <c r="D844" s="3"/>
    </row>
    <row r="845">
      <c r="A845" s="3"/>
      <c r="B845" s="3"/>
      <c r="C845" s="3"/>
      <c r="D845" s="3"/>
    </row>
    <row r="846">
      <c r="A846" s="3"/>
      <c r="B846" s="3"/>
      <c r="C846" s="3"/>
      <c r="D846" s="3"/>
    </row>
    <row r="847">
      <c r="A847" s="3"/>
      <c r="B847" s="3"/>
      <c r="C847" s="3"/>
      <c r="D847" s="3"/>
    </row>
    <row r="848">
      <c r="A848" s="3"/>
      <c r="B848" s="3"/>
      <c r="C848" s="3"/>
      <c r="D848" s="3"/>
    </row>
    <row r="849">
      <c r="A849" s="3"/>
      <c r="B849" s="3"/>
      <c r="C849" s="3"/>
      <c r="D849" s="3"/>
    </row>
    <row r="850">
      <c r="A850" s="3"/>
      <c r="B850" s="3"/>
      <c r="C850" s="3"/>
      <c r="D850" s="3"/>
    </row>
    <row r="851">
      <c r="A851" s="3"/>
      <c r="B851" s="3"/>
      <c r="C851" s="3"/>
      <c r="D851" s="3"/>
    </row>
    <row r="852">
      <c r="A852" s="3"/>
      <c r="B852" s="3"/>
      <c r="C852" s="3"/>
      <c r="D852" s="3"/>
    </row>
    <row r="853">
      <c r="A853" s="3"/>
      <c r="B853" s="3"/>
      <c r="C853" s="3"/>
      <c r="D853" s="3"/>
    </row>
    <row r="854">
      <c r="A854" s="3"/>
      <c r="B854" s="3"/>
      <c r="C854" s="3"/>
      <c r="D854" s="3"/>
    </row>
    <row r="855">
      <c r="A855" s="3"/>
      <c r="B855" s="3"/>
      <c r="C855" s="3"/>
      <c r="D855" s="3"/>
    </row>
    <row r="856">
      <c r="A856" s="3"/>
      <c r="B856" s="3"/>
      <c r="C856" s="3"/>
      <c r="D856" s="3"/>
    </row>
    <row r="857">
      <c r="A857" s="3"/>
      <c r="B857" s="3"/>
      <c r="C857" s="3"/>
      <c r="D857" s="3"/>
    </row>
    <row r="858">
      <c r="A858" s="3"/>
      <c r="B858" s="3"/>
      <c r="C858" s="3"/>
      <c r="D858" s="3"/>
    </row>
    <row r="859">
      <c r="A859" s="3"/>
      <c r="B859" s="3"/>
      <c r="C859" s="3"/>
      <c r="D859" s="3"/>
    </row>
    <row r="860">
      <c r="A860" s="3"/>
      <c r="B860" s="3"/>
      <c r="C860" s="3"/>
      <c r="D860" s="3"/>
    </row>
    <row r="861">
      <c r="A861" s="3"/>
      <c r="B861" s="3"/>
      <c r="C861" s="3"/>
      <c r="D861" s="3"/>
    </row>
    <row r="862">
      <c r="A862" s="3"/>
      <c r="B862" s="3"/>
      <c r="C862" s="3"/>
      <c r="D862" s="3"/>
    </row>
    <row r="863">
      <c r="A863" s="3"/>
      <c r="B863" s="3"/>
      <c r="C863" s="3"/>
      <c r="D863" s="3"/>
    </row>
    <row r="864">
      <c r="A864" s="3"/>
      <c r="B864" s="3"/>
      <c r="C864" s="3"/>
      <c r="D864" s="3"/>
    </row>
    <row r="865">
      <c r="A865" s="3"/>
      <c r="B865" s="3"/>
      <c r="C865" s="3"/>
      <c r="D865" s="3"/>
    </row>
    <row r="866">
      <c r="A866" s="3"/>
      <c r="B866" s="3"/>
      <c r="C866" s="3"/>
      <c r="D866" s="3"/>
    </row>
    <row r="867">
      <c r="A867" s="3"/>
      <c r="B867" s="3"/>
      <c r="C867" s="3"/>
      <c r="D867" s="3"/>
    </row>
    <row r="868">
      <c r="A868" s="3"/>
      <c r="B868" s="3"/>
      <c r="C868" s="3"/>
      <c r="D868" s="3"/>
    </row>
    <row r="869">
      <c r="A869" s="3"/>
      <c r="B869" s="3"/>
      <c r="C869" s="3"/>
      <c r="D869" s="3"/>
    </row>
    <row r="870">
      <c r="A870" s="3"/>
      <c r="B870" s="3"/>
      <c r="C870" s="3"/>
      <c r="D870" s="3"/>
    </row>
    <row r="871">
      <c r="A871" s="3"/>
      <c r="B871" s="3"/>
      <c r="C871" s="3"/>
      <c r="D871" s="3"/>
    </row>
    <row r="872">
      <c r="A872" s="3"/>
      <c r="B872" s="3"/>
      <c r="C872" s="3"/>
      <c r="D872" s="3"/>
    </row>
    <row r="873">
      <c r="A873" s="3"/>
      <c r="B873" s="3"/>
      <c r="C873" s="3"/>
      <c r="D873" s="3"/>
    </row>
    <row r="874">
      <c r="A874" s="3"/>
      <c r="B874" s="3"/>
      <c r="C874" s="3"/>
      <c r="D874" s="3"/>
    </row>
    <row r="875">
      <c r="A875" s="3"/>
      <c r="B875" s="3"/>
      <c r="C875" s="3"/>
      <c r="D875" s="3"/>
    </row>
    <row r="876">
      <c r="A876" s="3"/>
      <c r="B876" s="3"/>
      <c r="C876" s="3"/>
      <c r="D876" s="3"/>
    </row>
    <row r="877">
      <c r="A877" s="3"/>
      <c r="B877" s="3"/>
      <c r="C877" s="3"/>
      <c r="D877" s="3"/>
    </row>
    <row r="878">
      <c r="A878" s="3"/>
      <c r="B878" s="3"/>
      <c r="C878" s="3"/>
      <c r="D878" s="3"/>
    </row>
    <row r="879">
      <c r="A879" s="3"/>
      <c r="B879" s="3"/>
      <c r="C879" s="3"/>
      <c r="D879" s="3"/>
    </row>
    <row r="880">
      <c r="A880" s="3"/>
      <c r="B880" s="3"/>
      <c r="C880" s="3"/>
      <c r="D880" s="3"/>
    </row>
    <row r="881">
      <c r="A881" s="3"/>
      <c r="B881" s="3"/>
      <c r="C881" s="3"/>
      <c r="D881" s="3"/>
    </row>
    <row r="882">
      <c r="A882" s="3"/>
      <c r="B882" s="3"/>
      <c r="C882" s="3"/>
      <c r="D882" s="3"/>
    </row>
    <row r="883">
      <c r="A883" s="3"/>
      <c r="B883" s="3"/>
      <c r="C883" s="3"/>
      <c r="D883" s="3"/>
    </row>
    <row r="884">
      <c r="A884" s="3"/>
      <c r="B884" s="3"/>
      <c r="C884" s="3"/>
      <c r="D884" s="3"/>
    </row>
    <row r="885">
      <c r="A885" s="3"/>
      <c r="B885" s="3"/>
      <c r="C885" s="3"/>
      <c r="D885" s="3"/>
    </row>
    <row r="886">
      <c r="A886" s="3"/>
      <c r="B886" s="3"/>
      <c r="C886" s="3"/>
      <c r="D886" s="3"/>
    </row>
    <row r="887">
      <c r="A887" s="3"/>
      <c r="B887" s="3"/>
      <c r="C887" s="3"/>
      <c r="D887" s="3"/>
    </row>
    <row r="888">
      <c r="A888" s="3"/>
      <c r="B888" s="3"/>
      <c r="C888" s="3"/>
      <c r="D888" s="3"/>
    </row>
    <row r="889">
      <c r="A889" s="3"/>
      <c r="B889" s="3"/>
      <c r="C889" s="3"/>
      <c r="D889" s="3"/>
    </row>
    <row r="890">
      <c r="A890" s="3"/>
      <c r="B890" s="3"/>
      <c r="C890" s="3"/>
      <c r="D890" s="3"/>
    </row>
    <row r="891">
      <c r="A891" s="3"/>
      <c r="B891" s="3"/>
      <c r="C891" s="3"/>
      <c r="D891" s="3"/>
    </row>
    <row r="892">
      <c r="A892" s="3"/>
      <c r="B892" s="3"/>
      <c r="C892" s="3"/>
      <c r="D892" s="3"/>
    </row>
    <row r="893">
      <c r="A893" s="3"/>
      <c r="B893" s="3"/>
      <c r="C893" s="3"/>
      <c r="D893" s="3"/>
    </row>
    <row r="894">
      <c r="A894" s="3"/>
      <c r="B894" s="3"/>
      <c r="C894" s="3"/>
      <c r="D894" s="3"/>
    </row>
    <row r="895">
      <c r="A895" s="3"/>
      <c r="B895" s="3"/>
      <c r="C895" s="3"/>
      <c r="D895" s="3"/>
    </row>
    <row r="896">
      <c r="A896" s="3"/>
      <c r="B896" s="3"/>
      <c r="C896" s="3"/>
      <c r="D896" s="3"/>
    </row>
    <row r="897">
      <c r="A897" s="3"/>
      <c r="B897" s="3"/>
      <c r="C897" s="3"/>
      <c r="D897" s="3"/>
    </row>
    <row r="898">
      <c r="A898" s="3"/>
      <c r="B898" s="3"/>
      <c r="C898" s="3"/>
      <c r="D898" s="3"/>
    </row>
    <row r="899">
      <c r="A899" s="3"/>
      <c r="B899" s="3"/>
      <c r="C899" s="3"/>
      <c r="D899" s="3"/>
    </row>
    <row r="900">
      <c r="A900" s="3"/>
      <c r="B900" s="3"/>
      <c r="C900" s="3"/>
      <c r="D900" s="3"/>
    </row>
    <row r="901">
      <c r="A901" s="3"/>
      <c r="B901" s="3"/>
      <c r="C901" s="3"/>
      <c r="D901" s="3"/>
    </row>
    <row r="902">
      <c r="A902" s="3"/>
      <c r="B902" s="3"/>
      <c r="C902" s="3"/>
      <c r="D902" s="3"/>
    </row>
    <row r="903">
      <c r="A903" s="3"/>
      <c r="B903" s="3"/>
      <c r="C903" s="3"/>
      <c r="D903" s="3"/>
    </row>
    <row r="904">
      <c r="A904" s="3"/>
      <c r="B904" s="3"/>
      <c r="C904" s="3"/>
      <c r="D904" s="3"/>
    </row>
    <row r="905">
      <c r="A905" s="3"/>
      <c r="B905" s="3"/>
      <c r="C905" s="3"/>
      <c r="D905" s="3"/>
    </row>
    <row r="906">
      <c r="A906" s="3"/>
      <c r="B906" s="3"/>
      <c r="C906" s="3"/>
      <c r="D906" s="3"/>
    </row>
    <row r="907">
      <c r="A907" s="3"/>
      <c r="B907" s="3"/>
      <c r="C907" s="3"/>
      <c r="D907" s="3"/>
    </row>
    <row r="908">
      <c r="A908" s="3"/>
      <c r="B908" s="3"/>
      <c r="C908" s="3"/>
      <c r="D908" s="3"/>
    </row>
    <row r="909">
      <c r="A909" s="3"/>
      <c r="B909" s="3"/>
      <c r="C909" s="3"/>
      <c r="D909" s="3"/>
    </row>
    <row r="910">
      <c r="A910" s="3"/>
      <c r="B910" s="3"/>
      <c r="C910" s="3"/>
      <c r="D910" s="3"/>
    </row>
    <row r="911">
      <c r="A911" s="3"/>
      <c r="B911" s="3"/>
      <c r="C911" s="3"/>
      <c r="D911" s="3"/>
    </row>
    <row r="912">
      <c r="A912" s="3"/>
      <c r="B912" s="3"/>
      <c r="C912" s="3"/>
      <c r="D912" s="3"/>
    </row>
    <row r="913">
      <c r="A913" s="3"/>
      <c r="B913" s="3"/>
      <c r="C913" s="3"/>
      <c r="D913" s="3"/>
    </row>
    <row r="914">
      <c r="A914" s="3"/>
      <c r="B914" s="3"/>
      <c r="C914" s="3"/>
      <c r="D914" s="3"/>
    </row>
    <row r="915">
      <c r="A915" s="3"/>
      <c r="B915" s="3"/>
      <c r="C915" s="3"/>
      <c r="D915" s="3"/>
    </row>
    <row r="916">
      <c r="A916" s="3"/>
      <c r="B916" s="3"/>
      <c r="C916" s="3"/>
      <c r="D916" s="3"/>
    </row>
    <row r="917">
      <c r="A917" s="3"/>
      <c r="B917" s="3"/>
      <c r="C917" s="3"/>
      <c r="D917" s="3"/>
    </row>
    <row r="918">
      <c r="A918" s="3"/>
      <c r="B918" s="3"/>
      <c r="C918" s="3"/>
      <c r="D918" s="3"/>
    </row>
    <row r="919">
      <c r="A919" s="3"/>
      <c r="B919" s="3"/>
      <c r="C919" s="3"/>
      <c r="D919" s="3"/>
    </row>
    <row r="920">
      <c r="A920" s="3"/>
      <c r="B920" s="3"/>
      <c r="C920" s="3"/>
      <c r="D920" s="3"/>
    </row>
    <row r="921">
      <c r="A921" s="3"/>
      <c r="B921" s="3"/>
      <c r="C921" s="3"/>
      <c r="D921" s="3"/>
    </row>
    <row r="922">
      <c r="A922" s="3"/>
      <c r="B922" s="3"/>
      <c r="C922" s="3"/>
      <c r="D922" s="3"/>
    </row>
    <row r="923">
      <c r="A923" s="3"/>
      <c r="B923" s="3"/>
      <c r="C923" s="3"/>
      <c r="D923" s="3"/>
    </row>
    <row r="924">
      <c r="A924" s="3"/>
      <c r="B924" s="3"/>
      <c r="C924" s="3"/>
      <c r="D924" s="3"/>
    </row>
    <row r="925">
      <c r="A925" s="3"/>
      <c r="B925" s="3"/>
      <c r="C925" s="3"/>
      <c r="D925" s="3"/>
    </row>
    <row r="926">
      <c r="A926" s="3"/>
      <c r="B926" s="3"/>
      <c r="C926" s="3"/>
      <c r="D926" s="3"/>
    </row>
    <row r="927">
      <c r="A927" s="3"/>
      <c r="B927" s="3"/>
      <c r="C927" s="3"/>
      <c r="D927" s="3"/>
    </row>
    <row r="928">
      <c r="A928" s="3"/>
      <c r="B928" s="3"/>
      <c r="C928" s="3"/>
      <c r="D928" s="3"/>
    </row>
    <row r="929">
      <c r="A929" s="3"/>
      <c r="B929" s="3"/>
      <c r="C929" s="3"/>
      <c r="D929" s="3"/>
    </row>
    <row r="930">
      <c r="A930" s="3"/>
      <c r="B930" s="3"/>
      <c r="C930" s="3"/>
      <c r="D930" s="3"/>
    </row>
    <row r="931">
      <c r="A931" s="3"/>
      <c r="B931" s="3"/>
      <c r="C931" s="3"/>
      <c r="D931" s="3"/>
    </row>
    <row r="932">
      <c r="A932" s="3"/>
      <c r="B932" s="3"/>
      <c r="C932" s="3"/>
      <c r="D932" s="3"/>
    </row>
    <row r="933">
      <c r="A933" s="3"/>
      <c r="B933" s="3"/>
      <c r="C933" s="3"/>
      <c r="D933" s="3"/>
    </row>
    <row r="934">
      <c r="A934" s="3"/>
      <c r="B934" s="3"/>
      <c r="C934" s="3"/>
      <c r="D934" s="3"/>
    </row>
    <row r="935">
      <c r="A935" s="3"/>
      <c r="B935" s="3"/>
      <c r="C935" s="3"/>
      <c r="D935" s="3"/>
    </row>
    <row r="936">
      <c r="A936" s="3"/>
      <c r="B936" s="3"/>
      <c r="C936" s="3"/>
      <c r="D936" s="3"/>
    </row>
    <row r="937">
      <c r="A937" s="3"/>
      <c r="B937" s="3"/>
      <c r="C937" s="3"/>
      <c r="D937" s="3"/>
    </row>
    <row r="938">
      <c r="A938" s="3"/>
      <c r="B938" s="3"/>
      <c r="C938" s="3"/>
      <c r="D938" s="3"/>
    </row>
    <row r="939">
      <c r="A939" s="3"/>
      <c r="B939" s="3"/>
      <c r="C939" s="3"/>
      <c r="D939" s="3"/>
    </row>
    <row r="940">
      <c r="A940" s="3"/>
      <c r="B940" s="3"/>
      <c r="C940" s="3"/>
      <c r="D940" s="3"/>
    </row>
    <row r="941">
      <c r="A941" s="3"/>
      <c r="B941" s="3"/>
      <c r="C941" s="3"/>
      <c r="D941" s="3"/>
    </row>
    <row r="942">
      <c r="A942" s="3"/>
      <c r="B942" s="3"/>
      <c r="C942" s="3"/>
      <c r="D942" s="3"/>
    </row>
    <row r="943">
      <c r="A943" s="3"/>
      <c r="B943" s="3"/>
      <c r="C943" s="3"/>
      <c r="D943" s="3"/>
    </row>
    <row r="944">
      <c r="A944" s="3"/>
      <c r="B944" s="3"/>
      <c r="C944" s="3"/>
      <c r="D944" s="3"/>
    </row>
    <row r="945">
      <c r="A945" s="3"/>
      <c r="B945" s="3"/>
      <c r="C945" s="3"/>
      <c r="D945" s="3"/>
    </row>
    <row r="946">
      <c r="A946" s="3"/>
      <c r="B946" s="3"/>
      <c r="C946" s="3"/>
      <c r="D946" s="3"/>
    </row>
    <row r="947">
      <c r="A947" s="3"/>
      <c r="B947" s="3"/>
      <c r="C947" s="3"/>
      <c r="D947" s="3"/>
    </row>
    <row r="948">
      <c r="A948" s="3"/>
      <c r="B948" s="3"/>
      <c r="C948" s="3"/>
      <c r="D948" s="3"/>
    </row>
    <row r="949">
      <c r="A949" s="3"/>
      <c r="B949" s="3"/>
      <c r="C949" s="3"/>
      <c r="D949" s="3"/>
    </row>
    <row r="950">
      <c r="A950" s="3"/>
      <c r="B950" s="3"/>
      <c r="C950" s="3"/>
      <c r="D950" s="3"/>
    </row>
    <row r="951">
      <c r="A951" s="3"/>
      <c r="B951" s="3"/>
      <c r="C951" s="3"/>
      <c r="D951" s="3"/>
    </row>
    <row r="952">
      <c r="A952" s="3"/>
      <c r="B952" s="3"/>
      <c r="C952" s="3"/>
      <c r="D952" s="3"/>
    </row>
    <row r="953">
      <c r="A953" s="3"/>
      <c r="B953" s="3"/>
      <c r="C953" s="3"/>
      <c r="D953" s="3"/>
    </row>
    <row r="954">
      <c r="A954" s="3"/>
      <c r="B954" s="3"/>
      <c r="C954" s="3"/>
      <c r="D954" s="3"/>
    </row>
    <row r="955">
      <c r="A955" s="3"/>
      <c r="B955" s="3"/>
      <c r="C955" s="3"/>
      <c r="D955" s="3"/>
    </row>
    <row r="956">
      <c r="A956" s="3"/>
      <c r="B956" s="3"/>
      <c r="C956" s="3"/>
      <c r="D956" s="3"/>
    </row>
    <row r="957">
      <c r="A957" s="3"/>
      <c r="B957" s="3"/>
      <c r="C957" s="3"/>
      <c r="D957" s="3"/>
    </row>
    <row r="958">
      <c r="A958" s="3"/>
      <c r="B958" s="3"/>
      <c r="C958" s="3"/>
      <c r="D958" s="3"/>
    </row>
    <row r="959">
      <c r="A959" s="3"/>
      <c r="B959" s="3"/>
      <c r="C959" s="3"/>
      <c r="D959" s="3"/>
    </row>
    <row r="960">
      <c r="A960" s="3"/>
      <c r="B960" s="3"/>
      <c r="C960" s="3"/>
      <c r="D960" s="3"/>
    </row>
    <row r="961">
      <c r="A961" s="3"/>
      <c r="B961" s="3"/>
      <c r="C961" s="3"/>
      <c r="D961" s="3"/>
    </row>
    <row r="962">
      <c r="A962" s="3"/>
      <c r="B962" s="3"/>
      <c r="C962" s="3"/>
      <c r="D962" s="3"/>
    </row>
    <row r="963">
      <c r="A963" s="3"/>
      <c r="B963" s="3"/>
      <c r="C963" s="3"/>
      <c r="D963" s="3"/>
    </row>
    <row r="964">
      <c r="A964" s="3"/>
      <c r="B964" s="3"/>
      <c r="C964" s="3"/>
      <c r="D964" s="3"/>
    </row>
    <row r="965">
      <c r="A965" s="3"/>
      <c r="B965" s="3"/>
      <c r="C965" s="3"/>
      <c r="D965" s="3"/>
    </row>
    <row r="966">
      <c r="A966" s="3"/>
      <c r="B966" s="3"/>
      <c r="C966" s="3"/>
      <c r="D966" s="3"/>
    </row>
    <row r="967">
      <c r="A967" s="3"/>
      <c r="B967" s="3"/>
      <c r="C967" s="3"/>
      <c r="D967" s="3"/>
    </row>
    <row r="968">
      <c r="A968" s="3"/>
      <c r="B968" s="3"/>
      <c r="C968" s="3"/>
      <c r="D968" s="3"/>
    </row>
    <row r="969">
      <c r="A969" s="3"/>
      <c r="B969" s="3"/>
      <c r="C969" s="3"/>
      <c r="D969" s="3"/>
    </row>
    <row r="970">
      <c r="A970" s="3"/>
      <c r="B970" s="3"/>
      <c r="C970" s="3"/>
      <c r="D970" s="3"/>
    </row>
    <row r="971">
      <c r="A971" s="3"/>
      <c r="B971" s="3"/>
      <c r="C971" s="3"/>
      <c r="D971" s="3"/>
    </row>
    <row r="972">
      <c r="A972" s="3"/>
      <c r="B972" s="3"/>
      <c r="C972" s="3"/>
      <c r="D972" s="3"/>
    </row>
    <row r="973">
      <c r="A973" s="3"/>
      <c r="B973" s="3"/>
      <c r="C973" s="3"/>
      <c r="D973" s="3"/>
    </row>
    <row r="974">
      <c r="A974" s="3"/>
      <c r="B974" s="3"/>
      <c r="C974" s="3"/>
      <c r="D974" s="3"/>
    </row>
    <row r="975">
      <c r="A975" s="3"/>
      <c r="B975" s="3"/>
      <c r="C975" s="3"/>
      <c r="D975" s="3"/>
    </row>
    <row r="976">
      <c r="A976" s="3"/>
      <c r="B976" s="3"/>
      <c r="C976" s="3"/>
      <c r="D976" s="3"/>
    </row>
    <row r="977">
      <c r="A977" s="3"/>
      <c r="B977" s="3"/>
      <c r="C977" s="3"/>
      <c r="D977" s="3"/>
    </row>
    <row r="978">
      <c r="A978" s="3"/>
      <c r="B978" s="3"/>
      <c r="C978" s="3"/>
      <c r="D978" s="3"/>
    </row>
    <row r="979">
      <c r="A979" s="3"/>
      <c r="B979" s="3"/>
      <c r="C979" s="3"/>
      <c r="D979" s="3"/>
    </row>
    <row r="980">
      <c r="A980" s="3"/>
      <c r="B980" s="3"/>
      <c r="C980" s="3"/>
      <c r="D980" s="3"/>
    </row>
    <row r="981">
      <c r="A981" s="3"/>
      <c r="B981" s="3"/>
      <c r="C981" s="3"/>
      <c r="D981" s="3"/>
    </row>
    <row r="982">
      <c r="A982" s="3"/>
      <c r="B982" s="3"/>
      <c r="C982" s="3"/>
      <c r="D982" s="3"/>
    </row>
    <row r="983">
      <c r="A983" s="3"/>
      <c r="B983" s="3"/>
      <c r="C983" s="3"/>
      <c r="D983" s="3"/>
    </row>
    <row r="984">
      <c r="A984" s="3"/>
      <c r="B984" s="3"/>
      <c r="C984" s="3"/>
      <c r="D984" s="3"/>
    </row>
    <row r="985">
      <c r="A985" s="3"/>
      <c r="B985" s="3"/>
      <c r="C985" s="3"/>
      <c r="D985" s="3"/>
    </row>
    <row r="986">
      <c r="A986" s="3"/>
      <c r="B986" s="3"/>
      <c r="C986" s="3"/>
      <c r="D986" s="3"/>
    </row>
    <row r="987">
      <c r="A987" s="3"/>
      <c r="B987" s="3"/>
      <c r="C987" s="3"/>
      <c r="D987" s="3"/>
    </row>
    <row r="988">
      <c r="A988" s="3"/>
      <c r="B988" s="3"/>
      <c r="C988" s="3"/>
      <c r="D988" s="3"/>
    </row>
    <row r="989">
      <c r="A989" s="3"/>
      <c r="B989" s="3"/>
      <c r="C989" s="3"/>
      <c r="D989" s="3"/>
    </row>
    <row r="990">
      <c r="A990" s="3"/>
      <c r="B990" s="3"/>
      <c r="C990" s="3"/>
      <c r="D990" s="3"/>
    </row>
    <row r="991">
      <c r="A991" s="3"/>
      <c r="B991" s="3"/>
      <c r="C991" s="3"/>
      <c r="D991" s="3"/>
    </row>
    <row r="992">
      <c r="A992" s="3"/>
      <c r="B992" s="3"/>
      <c r="C992" s="3"/>
      <c r="D992" s="3"/>
    </row>
    <row r="993">
      <c r="A993" s="3"/>
      <c r="B993" s="3"/>
      <c r="C993" s="3"/>
      <c r="D993" s="3"/>
    </row>
    <row r="994">
      <c r="A994" s="3"/>
      <c r="B994" s="3"/>
      <c r="C994" s="3"/>
      <c r="D994" s="3"/>
    </row>
    <row r="995">
      <c r="A995" s="3"/>
      <c r="B995" s="3"/>
      <c r="C995" s="3"/>
      <c r="D995" s="3"/>
    </row>
    <row r="996">
      <c r="A996" s="3"/>
      <c r="B996" s="3"/>
      <c r="C996" s="3"/>
      <c r="D996" s="3"/>
    </row>
    <row r="997">
      <c r="A997" s="3"/>
      <c r="B997" s="3"/>
      <c r="C997" s="3"/>
      <c r="D997" s="3"/>
    </row>
    <row r="998">
      <c r="A998" s="3"/>
      <c r="B998" s="3"/>
      <c r="C998" s="3"/>
      <c r="D998" s="3"/>
    </row>
    <row r="999">
      <c r="A999" s="3"/>
      <c r="B999" s="3"/>
      <c r="C999" s="3"/>
      <c r="D999" s="3"/>
    </row>
    <row r="1000">
      <c r="A1000" s="3"/>
      <c r="B1000" s="3"/>
      <c r="C1000" s="3"/>
      <c r="D1000" s="3"/>
    </row>
  </sheetData>
  <drawing r:id="rId1"/>
</worksheet>
</file>